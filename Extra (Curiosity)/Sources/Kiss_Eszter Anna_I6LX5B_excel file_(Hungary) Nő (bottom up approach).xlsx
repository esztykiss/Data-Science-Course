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5a37962bf3ab689/Dokumentumok/^NEGYETEM/Szakdolgozat!/"/>
    </mc:Choice>
  </mc:AlternateContent>
  <xr:revisionPtr revIDLastSave="2880" documentId="11_F25DC773A252ABDACC10485D811C63DC5BDE58E8" xr6:coauthVersionLast="47" xr6:coauthVersionMax="47" xr10:uidLastSave="{C0EC873E-8AF8-4CCF-B2C5-99BFA3312A02}"/>
  <bookViews>
    <workbookView xWindow="-108" yWindow="-108" windowWidth="23256" windowHeight="13176" xr2:uid="{00000000-000D-0000-FFFF-FFFF00000000}"/>
  </bookViews>
  <sheets>
    <sheet name="EREDMÉNYEK" sheetId="1" r:id="rId1"/>
    <sheet name="1952" sheetId="2" r:id="rId2"/>
    <sheet name="1953" sheetId="3" r:id="rId3"/>
    <sheet name="1954" sheetId="4" r:id="rId4"/>
    <sheet name="1955" sheetId="5" r:id="rId5"/>
    <sheet name="1956" sheetId="6" r:id="rId6"/>
    <sheet name="1957" sheetId="7" r:id="rId7"/>
    <sheet name="1958" sheetId="8" r:id="rId8"/>
    <sheet name="1959" sheetId="9" r:id="rId9"/>
    <sheet name="1960" sheetId="10" r:id="rId10"/>
    <sheet name="1961" sheetId="20" r:id="rId11"/>
    <sheet name="1962" sheetId="11" r:id="rId12"/>
    <sheet name="1963" sheetId="12" r:id="rId13"/>
    <sheet name="1964" sheetId="13" r:id="rId14"/>
    <sheet name="1965" sheetId="14" r:id="rId15"/>
    <sheet name="1966" sheetId="15" r:id="rId16"/>
    <sheet name="1967" sheetId="16" r:id="rId17"/>
    <sheet name="1968" sheetId="17" r:id="rId18"/>
    <sheet name="1969" sheetId="18" r:id="rId19"/>
    <sheet name="1970" sheetId="19" r:id="rId20"/>
    <sheet name="1971" sheetId="21" r:id="rId21"/>
    <sheet name="1972" sheetId="22" r:id="rId22"/>
    <sheet name="1973" sheetId="23" r:id="rId23"/>
    <sheet name="1974" sheetId="24" r:id="rId24"/>
    <sheet name="1975" sheetId="25" r:id="rId25"/>
    <sheet name="1976" sheetId="26" r:id="rId26"/>
    <sheet name="1977" sheetId="27" r:id="rId27"/>
    <sheet name="1978" sheetId="28" r:id="rId28"/>
    <sheet name="1979" sheetId="29" r:id="rId29"/>
    <sheet name="1980" sheetId="30" r:id="rId30"/>
    <sheet name="1981" sheetId="31" r:id="rId31"/>
    <sheet name="1982" sheetId="32" r:id="rId32"/>
    <sheet name="1983" sheetId="33" r:id="rId33"/>
    <sheet name="1984" sheetId="34" r:id="rId34"/>
    <sheet name="1985" sheetId="35" r:id="rId35"/>
    <sheet name="1986" sheetId="36" r:id="rId36"/>
    <sheet name="1987" sheetId="37" r:id="rId37"/>
    <sheet name="1988" sheetId="38" r:id="rId38"/>
    <sheet name="1989" sheetId="39" r:id="rId39"/>
    <sheet name="1990" sheetId="40" r:id="rId40"/>
    <sheet name="1991" sheetId="41" r:id="rId41"/>
    <sheet name="1992" sheetId="42" r:id="rId4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24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" i="2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S9" i="2" l="1"/>
  <c r="C22" i="2"/>
  <c r="D22" i="2"/>
  <c r="E22" i="2"/>
  <c r="B22" i="2"/>
  <c r="S9" i="3"/>
  <c r="C16" i="3"/>
  <c r="D16" i="3"/>
  <c r="E16" i="3"/>
  <c r="B16" i="3"/>
  <c r="S9" i="4"/>
  <c r="C15" i="4"/>
  <c r="D15" i="4"/>
  <c r="E15" i="4"/>
  <c r="B15" i="4"/>
  <c r="G15" i="4" s="1"/>
  <c r="S9" i="5"/>
  <c r="E28" i="5"/>
  <c r="D28" i="5"/>
  <c r="S9" i="6"/>
  <c r="S2" i="6"/>
  <c r="C24" i="6"/>
  <c r="D24" i="6"/>
  <c r="E24" i="6"/>
  <c r="B24" i="6"/>
  <c r="S2" i="7"/>
  <c r="S9" i="7"/>
  <c r="C38" i="7"/>
  <c r="G38" i="7" s="1"/>
  <c r="D38" i="7"/>
  <c r="E38" i="7"/>
  <c r="B38" i="7"/>
  <c r="S2" i="8"/>
  <c r="S9" i="8"/>
  <c r="C24" i="8"/>
  <c r="D24" i="8"/>
  <c r="E24" i="8"/>
  <c r="G24" i="8" s="1"/>
  <c r="B24" i="8"/>
  <c r="S2" i="9"/>
  <c r="S9" i="9"/>
  <c r="C30" i="9"/>
  <c r="D30" i="9"/>
  <c r="E30" i="9"/>
  <c r="B30" i="9"/>
  <c r="S2" i="10"/>
  <c r="S9" i="10"/>
  <c r="C27" i="10"/>
  <c r="D27" i="10"/>
  <c r="E27" i="10"/>
  <c r="B27" i="10"/>
  <c r="S9" i="20"/>
  <c r="C28" i="20"/>
  <c r="D28" i="20"/>
  <c r="E28" i="20"/>
  <c r="B28" i="20"/>
  <c r="S9" i="11"/>
  <c r="C18" i="11"/>
  <c r="D18" i="11"/>
  <c r="G18" i="11" s="1"/>
  <c r="E18" i="11"/>
  <c r="B18" i="11"/>
  <c r="S9" i="12"/>
  <c r="C15" i="12"/>
  <c r="D15" i="12"/>
  <c r="E15" i="12"/>
  <c r="B15" i="12"/>
  <c r="S2" i="13"/>
  <c r="S9" i="13"/>
  <c r="C22" i="13"/>
  <c r="D22" i="13"/>
  <c r="E22" i="13"/>
  <c r="B22" i="13"/>
  <c r="S2" i="14"/>
  <c r="S9" i="14"/>
  <c r="C16" i="14"/>
  <c r="D16" i="14"/>
  <c r="E16" i="14"/>
  <c r="B16" i="14"/>
  <c r="S2" i="15"/>
  <c r="S9" i="15"/>
  <c r="C22" i="15"/>
  <c r="D22" i="15"/>
  <c r="E22" i="15"/>
  <c r="B22" i="15"/>
  <c r="S9" i="16"/>
  <c r="C20" i="16"/>
  <c r="D20" i="16"/>
  <c r="G20" i="16" s="1"/>
  <c r="E20" i="16"/>
  <c r="B20" i="16"/>
  <c r="S2" i="17"/>
  <c r="S9" i="17"/>
  <c r="C15" i="17"/>
  <c r="D15" i="17"/>
  <c r="E15" i="17"/>
  <c r="B15" i="17"/>
  <c r="S2" i="18"/>
  <c r="S9" i="18"/>
  <c r="C11" i="18"/>
  <c r="D11" i="18"/>
  <c r="E11" i="18"/>
  <c r="B11" i="18"/>
  <c r="S2" i="19"/>
  <c r="S9" i="19"/>
  <c r="C22" i="19"/>
  <c r="D22" i="19"/>
  <c r="E22" i="19"/>
  <c r="B22" i="19"/>
  <c r="S9" i="21"/>
  <c r="C25" i="21"/>
  <c r="D25" i="21"/>
  <c r="B25" i="21"/>
  <c r="S2" i="22"/>
  <c r="S9" i="22"/>
  <c r="C16" i="22"/>
  <c r="D16" i="22"/>
  <c r="E16" i="22"/>
  <c r="G16" i="22" s="1"/>
  <c r="B16" i="22"/>
  <c r="S9" i="23"/>
  <c r="C14" i="23"/>
  <c r="D14" i="23"/>
  <c r="E14" i="23"/>
  <c r="B14" i="23"/>
  <c r="G14" i="23" s="1"/>
  <c r="S9" i="24"/>
  <c r="C25" i="24"/>
  <c r="D25" i="24"/>
  <c r="E25" i="24"/>
  <c r="B25" i="24"/>
  <c r="S9" i="25"/>
  <c r="S2" i="25"/>
  <c r="C21" i="25"/>
  <c r="D21" i="25"/>
  <c r="E21" i="25"/>
  <c r="G21" i="25" s="1"/>
  <c r="B21" i="25"/>
  <c r="S9" i="26"/>
  <c r="S2" i="26"/>
  <c r="C21" i="26"/>
  <c r="G21" i="26" s="1"/>
  <c r="D21" i="26"/>
  <c r="E21" i="26"/>
  <c r="B21" i="26"/>
  <c r="S9" i="27"/>
  <c r="S2" i="27"/>
  <c r="C15" i="27"/>
  <c r="D15" i="27"/>
  <c r="E15" i="27"/>
  <c r="B15" i="27"/>
  <c r="S2" i="28"/>
  <c r="S9" i="28"/>
  <c r="C19" i="28"/>
  <c r="D19" i="28"/>
  <c r="E19" i="28"/>
  <c r="B19" i="28"/>
  <c r="G19" i="28" s="1"/>
  <c r="S9" i="29"/>
  <c r="C26" i="29"/>
  <c r="D26" i="29"/>
  <c r="G26" i="29" s="1"/>
  <c r="E26" i="29"/>
  <c r="B26" i="29"/>
  <c r="S9" i="30"/>
  <c r="C17" i="30"/>
  <c r="D17" i="30"/>
  <c r="E17" i="30"/>
  <c r="B17" i="30"/>
  <c r="S9" i="31"/>
  <c r="C23" i="31"/>
  <c r="D23" i="31"/>
  <c r="E23" i="31"/>
  <c r="B23" i="31"/>
  <c r="S2" i="32"/>
  <c r="S9" i="32"/>
  <c r="C14" i="32"/>
  <c r="D14" i="32"/>
  <c r="E14" i="32"/>
  <c r="B14" i="32"/>
  <c r="S9" i="33"/>
  <c r="S2" i="33"/>
  <c r="C13" i="33"/>
  <c r="D13" i="33"/>
  <c r="E13" i="33"/>
  <c r="B13" i="33"/>
  <c r="S2" i="34"/>
  <c r="S9" i="34"/>
  <c r="C23" i="34"/>
  <c r="D23" i="34"/>
  <c r="E23" i="34"/>
  <c r="B23" i="34"/>
  <c r="S2" i="35"/>
  <c r="S9" i="35"/>
  <c r="C23" i="35"/>
  <c r="D23" i="35"/>
  <c r="E23" i="35"/>
  <c r="G23" i="35" s="1"/>
  <c r="B23" i="35"/>
  <c r="S9" i="36"/>
  <c r="S2" i="36"/>
  <c r="C19" i="36"/>
  <c r="D19" i="36"/>
  <c r="E19" i="36"/>
  <c r="B19" i="36"/>
  <c r="S2" i="37"/>
  <c r="S9" i="37"/>
  <c r="C18" i="37"/>
  <c r="D18" i="37"/>
  <c r="E18" i="37"/>
  <c r="B18" i="37"/>
  <c r="G18" i="37" s="1"/>
  <c r="S9" i="38"/>
  <c r="C16" i="38"/>
  <c r="D16" i="38"/>
  <c r="E16" i="38"/>
  <c r="B16" i="38"/>
  <c r="S9" i="39"/>
  <c r="C14" i="39"/>
  <c r="D14" i="39"/>
  <c r="E14" i="39"/>
  <c r="G14" i="39" s="1"/>
  <c r="B14" i="39"/>
  <c r="C12" i="40"/>
  <c r="E12" i="40"/>
  <c r="B12" i="40"/>
  <c r="S9" i="40"/>
  <c r="S9" i="41"/>
  <c r="E21" i="41"/>
  <c r="S9" i="42"/>
  <c r="S2" i="42"/>
  <c r="B9" i="42"/>
  <c r="C9" i="42"/>
  <c r="G9" i="42"/>
  <c r="G21" i="41"/>
  <c r="G12" i="40"/>
  <c r="G16" i="38"/>
  <c r="G19" i="36"/>
  <c r="G23" i="34"/>
  <c r="G13" i="33"/>
  <c r="G14" i="32"/>
  <c r="G23" i="31"/>
  <c r="G17" i="30"/>
  <c r="G15" i="27"/>
  <c r="G25" i="24"/>
  <c r="G25" i="21"/>
  <c r="G22" i="19"/>
  <c r="G11" i="18"/>
  <c r="G22" i="15"/>
  <c r="G16" i="14"/>
  <c r="G22" i="13"/>
  <c r="G15" i="12"/>
  <c r="G28" i="20"/>
  <c r="G27" i="10"/>
  <c r="G30" i="9"/>
  <c r="G24" i="6"/>
  <c r="G28" i="5"/>
  <c r="G16" i="3"/>
  <c r="E16" i="1"/>
  <c r="D16" i="1"/>
  <c r="C16" i="1"/>
  <c r="B16" i="1"/>
  <c r="G16" i="1" s="1"/>
  <c r="G22" i="2" l="1"/>
  <c r="G15" i="17"/>
  <c r="S9" i="1"/>
  <c r="S2" i="1"/>
</calcChain>
</file>

<file path=xl/sharedStrings.xml><?xml version="1.0" encoding="utf-8"?>
<sst xmlns="http://schemas.openxmlformats.org/spreadsheetml/2006/main" count="885" uniqueCount="27">
  <si>
    <t>January</t>
  </si>
  <si>
    <t>April</t>
  </si>
  <si>
    <t xml:space="preserve"> July</t>
  </si>
  <si>
    <t>October</t>
  </si>
  <si>
    <t>parfumes:</t>
  </si>
  <si>
    <t>small luxury</t>
  </si>
  <si>
    <t xml:space="preserve">all the data </t>
  </si>
  <si>
    <t>cosmetics</t>
  </si>
  <si>
    <t xml:space="preserve">skkirt lengths </t>
  </si>
  <si>
    <t>lipstick</t>
  </si>
  <si>
    <t>lotions (skin care, hand creams)</t>
  </si>
  <si>
    <t xml:space="preserve">nail polist, </t>
  </si>
  <si>
    <t>candles</t>
  </si>
  <si>
    <t>bags</t>
  </si>
  <si>
    <t>high luxury</t>
  </si>
  <si>
    <t>watches</t>
  </si>
  <si>
    <t>dining</t>
  </si>
  <si>
    <t>jewellery</t>
  </si>
  <si>
    <t>travel</t>
  </si>
  <si>
    <t>hats</t>
  </si>
  <si>
    <t>hemline index</t>
  </si>
  <si>
    <t>HEMLINE INDEX</t>
  </si>
  <si>
    <t>LIPSTICK INDEX</t>
  </si>
  <si>
    <t>HIGH</t>
  </si>
  <si>
    <t>LOW</t>
  </si>
  <si>
    <t>Subtracting low luxuries from high value luxuries</t>
  </si>
  <si>
    <t>Reversed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</si>
</sst>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46" fontId="0" fillId="3" borderId="0" xfId="0" applyNumberFormat="1" applyFill="1"/>
    <xf numFmtId="0" fontId="1" fillId="3" borderId="0" xfId="0" applyFont="1" applyFill="1"/>
    <xf numFmtId="2" fontId="0" fillId="3" borderId="0" xfId="0" applyNumberFormat="1" applyFill="1"/>
    <xf numFmtId="2" fontId="1" fillId="3" borderId="0" xfId="0" applyNumberFormat="1" applyFont="1" applyFill="1"/>
    <xf numFmtId="1" fontId="0" fillId="0" borderId="1" xfId="0" applyNumberFormat="1" applyBorder="1"/>
    <xf numFmtId="0" fontId="0" fillId="2" borderId="2" xfId="0" applyFill="1" applyBorder="1"/>
    <xf numFmtId="0" fontId="0" fillId="2" borderId="3" xfId="0" applyFill="1" applyBorder="1"/>
    <xf numFmtId="0" fontId="0" fillId="0" borderId="3" xfId="0" applyBorder="1"/>
    <xf numFmtId="0" fontId="0" fillId="0" borderId="4" xfId="0" applyBorder="1"/>
    <xf numFmtId="0" fontId="0" fillId="4" borderId="1" xfId="0" applyFill="1" applyBorder="1"/>
    <xf numFmtId="0" fontId="0" fillId="4" borderId="0" xfId="0" applyFill="1"/>
    <xf numFmtId="0" fontId="0" fillId="0" borderId="5" xfId="0" applyBorder="1"/>
    <xf numFmtId="2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Hemline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EREDMÉNYEK!$A$24:$A$64</c:f>
              <c:numCache>
                <c:formatCode>0</c:formatCode>
                <c:ptCount val="41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</c:numCache>
            </c:numRef>
          </c:cat>
          <c:val>
            <c:numRef>
              <c:f>EREDMÉNYEK!$B$24:$B$64</c:f>
              <c:numCache>
                <c:formatCode>0.00</c:formatCode>
                <c:ptCount val="41"/>
                <c:pt idx="0">
                  <c:v>4.25</c:v>
                </c:pt>
                <c:pt idx="1">
                  <c:v>4.2361111111111107</c:v>
                </c:pt>
                <c:pt idx="2">
                  <c:v>4.041666666666667</c:v>
                </c:pt>
                <c:pt idx="3">
                  <c:v>3.458333333333333</c:v>
                </c:pt>
                <c:pt idx="4">
                  <c:v>4.056766917293233</c:v>
                </c:pt>
                <c:pt idx="5">
                  <c:v>3.9179864253393664</c:v>
                </c:pt>
                <c:pt idx="6">
                  <c:v>3.5504385964912282</c:v>
                </c:pt>
                <c:pt idx="7">
                  <c:v>3.730649784997611</c:v>
                </c:pt>
                <c:pt idx="8">
                  <c:v>3.5606625258799172</c:v>
                </c:pt>
                <c:pt idx="9">
                  <c:v>3.4319047619047622</c:v>
                </c:pt>
                <c:pt idx="10">
                  <c:v>3.5104166666666665</c:v>
                </c:pt>
                <c:pt idx="11">
                  <c:v>3.3847402597402598</c:v>
                </c:pt>
                <c:pt idx="12">
                  <c:v>3.6805555555555554</c:v>
                </c:pt>
                <c:pt idx="13">
                  <c:v>3.2961309523809521</c:v>
                </c:pt>
                <c:pt idx="14">
                  <c:v>3.5964912280701755</c:v>
                </c:pt>
                <c:pt idx="15">
                  <c:v>2.9744318181818183</c:v>
                </c:pt>
                <c:pt idx="16">
                  <c:v>2.4214285714285713</c:v>
                </c:pt>
                <c:pt idx="17">
                  <c:v>1.9357142857142855</c:v>
                </c:pt>
                <c:pt idx="18">
                  <c:v>3.7749999999999999</c:v>
                </c:pt>
                <c:pt idx="19">
                  <c:v>3.3942307692307687</c:v>
                </c:pt>
                <c:pt idx="20">
                  <c:v>3.5979166666666664</c:v>
                </c:pt>
                <c:pt idx="21">
                  <c:v>2.7276785714285712</c:v>
                </c:pt>
                <c:pt idx="22">
                  <c:v>2.894327164064006</c:v>
                </c:pt>
                <c:pt idx="23">
                  <c:v>3.3641748366013071</c:v>
                </c:pt>
                <c:pt idx="24">
                  <c:v>3.4763071895424833</c:v>
                </c:pt>
                <c:pt idx="25">
                  <c:v>4.5517857142857148</c:v>
                </c:pt>
                <c:pt idx="26">
                  <c:v>3.4666666666666668</c:v>
                </c:pt>
                <c:pt idx="27">
                  <c:v>4.6174242424242431</c:v>
                </c:pt>
                <c:pt idx="28">
                  <c:v>3.625</c:v>
                </c:pt>
                <c:pt idx="29">
                  <c:v>3.7739234449760763</c:v>
                </c:pt>
                <c:pt idx="30">
                  <c:v>3.2982142857142858</c:v>
                </c:pt>
                <c:pt idx="31">
                  <c:v>3.3878968253968256</c:v>
                </c:pt>
                <c:pt idx="32">
                  <c:v>3.6055555555555552</c:v>
                </c:pt>
                <c:pt idx="33">
                  <c:v>3.8607142857142858</c:v>
                </c:pt>
                <c:pt idx="34">
                  <c:v>3.5</c:v>
                </c:pt>
                <c:pt idx="35">
                  <c:v>3.9017857142857144</c:v>
                </c:pt>
                <c:pt idx="36">
                  <c:v>3.9914772727272725</c:v>
                </c:pt>
                <c:pt idx="37">
                  <c:v>3.5883928571428569</c:v>
                </c:pt>
                <c:pt idx="38">
                  <c:v>3.875</c:v>
                </c:pt>
                <c:pt idx="39">
                  <c:v>3.7647058823529411</c:v>
                </c:pt>
                <c:pt idx="40">
                  <c:v>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4A-4187-9D15-5C28D2091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4429007"/>
        <c:axId val="1464438127"/>
      </c:lineChart>
      <c:catAx>
        <c:axId val="146442900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438127"/>
        <c:crosses val="autoZero"/>
        <c:auto val="1"/>
        <c:lblAlgn val="ctr"/>
        <c:lblOffset val="100"/>
        <c:noMultiLvlLbl val="0"/>
      </c:catAx>
      <c:valAx>
        <c:axId val="146443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429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High value luxuries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EREDMÉNYEK!$N$24:$N$64</c:f>
              <c:numCache>
                <c:formatCode>0</c:formatCode>
                <c:ptCount val="41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</c:numCache>
            </c:numRef>
          </c:cat>
          <c:val>
            <c:numRef>
              <c:f>EREDMÉNYEK!$O$24:$O$64</c:f>
              <c:numCache>
                <c:formatCode>General</c:formatCode>
                <c:ptCount val="41"/>
                <c:pt idx="0">
                  <c:v>21</c:v>
                </c:pt>
                <c:pt idx="1">
                  <c:v>25</c:v>
                </c:pt>
                <c:pt idx="2">
                  <c:v>8</c:v>
                </c:pt>
                <c:pt idx="3">
                  <c:v>5</c:v>
                </c:pt>
                <c:pt idx="4">
                  <c:v>35</c:v>
                </c:pt>
                <c:pt idx="5">
                  <c:v>37</c:v>
                </c:pt>
                <c:pt idx="6">
                  <c:v>33</c:v>
                </c:pt>
                <c:pt idx="7">
                  <c:v>35</c:v>
                </c:pt>
                <c:pt idx="8">
                  <c:v>22</c:v>
                </c:pt>
                <c:pt idx="9">
                  <c:v>23</c:v>
                </c:pt>
                <c:pt idx="10">
                  <c:v>20</c:v>
                </c:pt>
                <c:pt idx="11">
                  <c:v>45</c:v>
                </c:pt>
                <c:pt idx="12">
                  <c:v>44</c:v>
                </c:pt>
                <c:pt idx="13">
                  <c:v>38</c:v>
                </c:pt>
                <c:pt idx="14">
                  <c:v>20</c:v>
                </c:pt>
                <c:pt idx="15">
                  <c:v>35</c:v>
                </c:pt>
                <c:pt idx="16">
                  <c:v>24</c:v>
                </c:pt>
                <c:pt idx="17">
                  <c:v>11</c:v>
                </c:pt>
                <c:pt idx="18">
                  <c:v>27</c:v>
                </c:pt>
                <c:pt idx="19">
                  <c:v>22</c:v>
                </c:pt>
                <c:pt idx="20">
                  <c:v>20</c:v>
                </c:pt>
                <c:pt idx="21">
                  <c:v>21</c:v>
                </c:pt>
                <c:pt idx="22">
                  <c:v>26</c:v>
                </c:pt>
                <c:pt idx="23">
                  <c:v>37</c:v>
                </c:pt>
                <c:pt idx="24">
                  <c:v>41</c:v>
                </c:pt>
                <c:pt idx="25">
                  <c:v>46</c:v>
                </c:pt>
                <c:pt idx="26">
                  <c:v>25</c:v>
                </c:pt>
                <c:pt idx="27">
                  <c:v>48</c:v>
                </c:pt>
                <c:pt idx="28">
                  <c:v>30</c:v>
                </c:pt>
                <c:pt idx="29">
                  <c:v>13</c:v>
                </c:pt>
                <c:pt idx="30">
                  <c:v>27</c:v>
                </c:pt>
                <c:pt idx="31">
                  <c:v>21</c:v>
                </c:pt>
                <c:pt idx="32">
                  <c:v>38</c:v>
                </c:pt>
                <c:pt idx="33">
                  <c:v>34</c:v>
                </c:pt>
                <c:pt idx="34">
                  <c:v>37</c:v>
                </c:pt>
                <c:pt idx="35">
                  <c:v>32</c:v>
                </c:pt>
                <c:pt idx="36">
                  <c:v>25</c:v>
                </c:pt>
                <c:pt idx="37">
                  <c:v>32</c:v>
                </c:pt>
                <c:pt idx="38">
                  <c:v>27</c:v>
                </c:pt>
                <c:pt idx="39">
                  <c:v>5</c:v>
                </c:pt>
                <c:pt idx="40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88-49A8-8AE7-32212B962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5353951"/>
        <c:axId val="1465348671"/>
      </c:lineChart>
      <c:catAx>
        <c:axId val="1465353951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348671"/>
        <c:crosses val="autoZero"/>
        <c:auto val="1"/>
        <c:lblAlgn val="ctr"/>
        <c:lblOffset val="100"/>
        <c:noMultiLvlLbl val="0"/>
      </c:catAx>
      <c:valAx>
        <c:axId val="146534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35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Low value luxuries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EREDMÉNYEK!$N$24:$N$64</c:f>
              <c:numCache>
                <c:formatCode>0</c:formatCode>
                <c:ptCount val="41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</c:numCache>
            </c:numRef>
          </c:cat>
          <c:val>
            <c:numRef>
              <c:f>EREDMÉNYEK!$P$24:$P$64</c:f>
              <c:numCache>
                <c:formatCode>General</c:formatCode>
                <c:ptCount val="4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5</c:v>
                </c:pt>
                <c:pt idx="24">
                  <c:v>3</c:v>
                </c:pt>
                <c:pt idx="25">
                  <c:v>1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C2-4754-988A-8F8DF42FE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4698847"/>
        <c:axId val="1664697887"/>
      </c:lineChart>
      <c:catAx>
        <c:axId val="166469884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697887"/>
        <c:crosses val="autoZero"/>
        <c:auto val="1"/>
        <c:lblAlgn val="ctr"/>
        <c:lblOffset val="100"/>
        <c:noMultiLvlLbl val="0"/>
      </c:catAx>
      <c:valAx>
        <c:axId val="166469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69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Lipstick Index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EREDMÉNYEK!$AA$24:$AA$64</c:f>
              <c:numCache>
                <c:formatCode>0</c:formatCode>
                <c:ptCount val="41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</c:numCache>
            </c:numRef>
          </c:cat>
          <c:val>
            <c:numRef>
              <c:f>EREDMÉNYEK!$AB$24:$AB$64</c:f>
              <c:numCache>
                <c:formatCode>General</c:formatCode>
                <c:ptCount val="41"/>
                <c:pt idx="0">
                  <c:v>20</c:v>
                </c:pt>
                <c:pt idx="1">
                  <c:v>25</c:v>
                </c:pt>
                <c:pt idx="2">
                  <c:v>8</c:v>
                </c:pt>
                <c:pt idx="3">
                  <c:v>5</c:v>
                </c:pt>
                <c:pt idx="4">
                  <c:v>33</c:v>
                </c:pt>
                <c:pt idx="5">
                  <c:v>33</c:v>
                </c:pt>
                <c:pt idx="6">
                  <c:v>30</c:v>
                </c:pt>
                <c:pt idx="7">
                  <c:v>34</c:v>
                </c:pt>
                <c:pt idx="8">
                  <c:v>21</c:v>
                </c:pt>
                <c:pt idx="9">
                  <c:v>23</c:v>
                </c:pt>
                <c:pt idx="10">
                  <c:v>20</c:v>
                </c:pt>
                <c:pt idx="11">
                  <c:v>45</c:v>
                </c:pt>
                <c:pt idx="12">
                  <c:v>43</c:v>
                </c:pt>
                <c:pt idx="13">
                  <c:v>37</c:v>
                </c:pt>
                <c:pt idx="14">
                  <c:v>19</c:v>
                </c:pt>
                <c:pt idx="15">
                  <c:v>35</c:v>
                </c:pt>
                <c:pt idx="16">
                  <c:v>23</c:v>
                </c:pt>
                <c:pt idx="17">
                  <c:v>10</c:v>
                </c:pt>
                <c:pt idx="18">
                  <c:v>26</c:v>
                </c:pt>
                <c:pt idx="19">
                  <c:v>22</c:v>
                </c:pt>
                <c:pt idx="20">
                  <c:v>19</c:v>
                </c:pt>
                <c:pt idx="21">
                  <c:v>21</c:v>
                </c:pt>
                <c:pt idx="22">
                  <c:v>26</c:v>
                </c:pt>
                <c:pt idx="23">
                  <c:v>32</c:v>
                </c:pt>
                <c:pt idx="24">
                  <c:v>38</c:v>
                </c:pt>
                <c:pt idx="25">
                  <c:v>45</c:v>
                </c:pt>
                <c:pt idx="26">
                  <c:v>22</c:v>
                </c:pt>
                <c:pt idx="27">
                  <c:v>48</c:v>
                </c:pt>
                <c:pt idx="28">
                  <c:v>30</c:v>
                </c:pt>
                <c:pt idx="29">
                  <c:v>13</c:v>
                </c:pt>
                <c:pt idx="30">
                  <c:v>25</c:v>
                </c:pt>
                <c:pt idx="31">
                  <c:v>19</c:v>
                </c:pt>
                <c:pt idx="32">
                  <c:v>37</c:v>
                </c:pt>
                <c:pt idx="33">
                  <c:v>33</c:v>
                </c:pt>
                <c:pt idx="34">
                  <c:v>36</c:v>
                </c:pt>
                <c:pt idx="35">
                  <c:v>30</c:v>
                </c:pt>
                <c:pt idx="36">
                  <c:v>25</c:v>
                </c:pt>
                <c:pt idx="37">
                  <c:v>32</c:v>
                </c:pt>
                <c:pt idx="38">
                  <c:v>27</c:v>
                </c:pt>
                <c:pt idx="39">
                  <c:v>5</c:v>
                </c:pt>
                <c:pt idx="40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51-432C-A70F-850C7096A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965887"/>
        <c:axId val="1666967327"/>
      </c:lineChart>
      <c:catAx>
        <c:axId val="166696588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67327"/>
        <c:crosses val="autoZero"/>
        <c:auto val="1"/>
        <c:lblAlgn val="ctr"/>
        <c:lblOffset val="100"/>
        <c:noMultiLvlLbl val="0"/>
      </c:catAx>
      <c:valAx>
        <c:axId val="166696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6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Reversed Hemline Index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EREDMÉNYEK!$A$24:$A$64</c:f>
              <c:numCache>
                <c:formatCode>0</c:formatCode>
                <c:ptCount val="41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</c:numCache>
            </c:numRef>
          </c:cat>
          <c:val>
            <c:numRef>
              <c:f>EREDMÉNYEK!$C$24:$C$64</c:f>
              <c:numCache>
                <c:formatCode>0.00</c:formatCode>
                <c:ptCount val="41"/>
                <c:pt idx="0">
                  <c:v>1.75</c:v>
                </c:pt>
                <c:pt idx="1">
                  <c:v>1.7638888888888893</c:v>
                </c:pt>
                <c:pt idx="2">
                  <c:v>1.958333333333333</c:v>
                </c:pt>
                <c:pt idx="3">
                  <c:v>2.541666666666667</c:v>
                </c:pt>
                <c:pt idx="4">
                  <c:v>1.943233082706767</c:v>
                </c:pt>
                <c:pt idx="5">
                  <c:v>2.0820135746606336</c:v>
                </c:pt>
                <c:pt idx="6">
                  <c:v>2.4495614035087718</c:v>
                </c:pt>
                <c:pt idx="7">
                  <c:v>2.269350215002389</c:v>
                </c:pt>
                <c:pt idx="8">
                  <c:v>2.4393374741200828</c:v>
                </c:pt>
                <c:pt idx="9">
                  <c:v>2.5680952380952378</c:v>
                </c:pt>
                <c:pt idx="10">
                  <c:v>2.4895833333333335</c:v>
                </c:pt>
                <c:pt idx="11">
                  <c:v>2.6152597402597402</c:v>
                </c:pt>
                <c:pt idx="12">
                  <c:v>2.3194444444444446</c:v>
                </c:pt>
                <c:pt idx="13">
                  <c:v>2.7038690476190479</c:v>
                </c:pt>
                <c:pt idx="14">
                  <c:v>2.4035087719298245</c:v>
                </c:pt>
                <c:pt idx="15">
                  <c:v>3.0255681818181817</c:v>
                </c:pt>
                <c:pt idx="16">
                  <c:v>3.5785714285714287</c:v>
                </c:pt>
                <c:pt idx="17">
                  <c:v>4.0642857142857149</c:v>
                </c:pt>
                <c:pt idx="18">
                  <c:v>2.2250000000000001</c:v>
                </c:pt>
                <c:pt idx="19">
                  <c:v>2.6057692307692313</c:v>
                </c:pt>
                <c:pt idx="20">
                  <c:v>2.4020833333333336</c:v>
                </c:pt>
                <c:pt idx="21">
                  <c:v>3.2723214285714288</c:v>
                </c:pt>
                <c:pt idx="22">
                  <c:v>3.105672835935994</c:v>
                </c:pt>
                <c:pt idx="23">
                  <c:v>2.6358251633986929</c:v>
                </c:pt>
                <c:pt idx="24">
                  <c:v>2.5236928104575167</c:v>
                </c:pt>
                <c:pt idx="25">
                  <c:v>1.4482142857142852</c:v>
                </c:pt>
                <c:pt idx="26">
                  <c:v>2.5333333333333332</c:v>
                </c:pt>
                <c:pt idx="27">
                  <c:v>1.3825757575757569</c:v>
                </c:pt>
                <c:pt idx="28">
                  <c:v>2.375</c:v>
                </c:pt>
                <c:pt idx="29">
                  <c:v>2.2260765550239237</c:v>
                </c:pt>
                <c:pt idx="30">
                  <c:v>2.7017857142857142</c:v>
                </c:pt>
                <c:pt idx="31">
                  <c:v>2.6121031746031744</c:v>
                </c:pt>
                <c:pt idx="32">
                  <c:v>2.3944444444444448</c:v>
                </c:pt>
                <c:pt idx="33">
                  <c:v>2.1392857142857142</c:v>
                </c:pt>
                <c:pt idx="34">
                  <c:v>2.5</c:v>
                </c:pt>
                <c:pt idx="35">
                  <c:v>2.0982142857142856</c:v>
                </c:pt>
                <c:pt idx="36">
                  <c:v>2.0085227272727275</c:v>
                </c:pt>
                <c:pt idx="37">
                  <c:v>2.4116071428571431</c:v>
                </c:pt>
                <c:pt idx="38">
                  <c:v>2.125</c:v>
                </c:pt>
                <c:pt idx="39">
                  <c:v>2.2352941176470589</c:v>
                </c:pt>
                <c:pt idx="40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27-447D-AA83-A946DE04A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8195359"/>
        <c:axId val="1208201119"/>
      </c:lineChart>
      <c:catAx>
        <c:axId val="120819535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201119"/>
        <c:crosses val="autoZero"/>
        <c:auto val="1"/>
        <c:lblAlgn val="ctr"/>
        <c:lblOffset val="100"/>
        <c:noMultiLvlLbl val="0"/>
      </c:catAx>
      <c:valAx>
        <c:axId val="120820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19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47814</xdr:colOff>
      <xdr:row>23</xdr:row>
      <xdr:rowOff>59436</xdr:rowOff>
    </xdr:from>
    <xdr:to>
      <xdr:col>11</xdr:col>
      <xdr:colOff>392870</xdr:colOff>
      <xdr:row>37</xdr:row>
      <xdr:rowOff>185957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EFD72D-7CBB-851D-D5D4-F20EA0FA5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85375</xdr:colOff>
      <xdr:row>38</xdr:row>
      <xdr:rowOff>98622</xdr:rowOff>
    </xdr:from>
    <xdr:to>
      <xdr:col>24</xdr:col>
      <xdr:colOff>352743</xdr:colOff>
      <xdr:row>53</xdr:row>
      <xdr:rowOff>31112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3C0E98-9F22-8559-46B0-50CFD728D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34637</xdr:colOff>
      <xdr:row>23</xdr:row>
      <xdr:rowOff>31172</xdr:rowOff>
    </xdr:from>
    <xdr:to>
      <xdr:col>24</xdr:col>
      <xdr:colOff>363682</xdr:colOff>
      <xdr:row>37</xdr:row>
      <xdr:rowOff>107372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619FFC-8FE8-FAFE-E36A-24CCA7833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37171</xdr:colOff>
      <xdr:row>23</xdr:row>
      <xdr:rowOff>40888</xdr:rowOff>
    </xdr:from>
    <xdr:to>
      <xdr:col>36</xdr:col>
      <xdr:colOff>315951</xdr:colOff>
      <xdr:row>37</xdr:row>
      <xdr:rowOff>182137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8B8FA1-97F1-7C81-035E-ACA6F13F31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86895</xdr:colOff>
      <xdr:row>39</xdr:row>
      <xdr:rowOff>92242</xdr:rowOff>
    </xdr:from>
    <xdr:to>
      <xdr:col>11</xdr:col>
      <xdr:colOff>354263</xdr:colOff>
      <xdr:row>54</xdr:row>
      <xdr:rowOff>28074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E7363C0-1692-CEE6-7948-E0AB532A18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L66"/>
  <sheetViews>
    <sheetView tabSelected="1" topLeftCell="D38" zoomScale="162" workbookViewId="0">
      <selection activeCell="D37" sqref="D37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M2" s="1" t="s">
        <v>7</v>
      </c>
      <c r="N2" s="2"/>
      <c r="O2" s="2"/>
      <c r="P2" s="2"/>
      <c r="Q2" s="2"/>
      <c r="S2" s="4" t="e">
        <f>AVERAGE(N1:Q6)</f>
        <v>#DIV/0!</v>
      </c>
    </row>
    <row r="3" spans="1:19" x14ac:dyDescent="0.3">
      <c r="A3" s="1" t="s">
        <v>8</v>
      </c>
      <c r="M3" s="1" t="s">
        <v>9</v>
      </c>
      <c r="N3" s="2"/>
      <c r="O3" s="2"/>
      <c r="P3" s="2"/>
      <c r="Q3" s="2"/>
    </row>
    <row r="4" spans="1:19" x14ac:dyDescent="0.3">
      <c r="A4" s="1"/>
      <c r="M4" s="1" t="s">
        <v>10</v>
      </c>
      <c r="N4" s="2"/>
      <c r="O4" s="2"/>
      <c r="P4" s="2"/>
      <c r="Q4" s="2"/>
    </row>
    <row r="5" spans="1:19" x14ac:dyDescent="0.3">
      <c r="A5" s="1"/>
      <c r="M5" s="1" t="s">
        <v>11</v>
      </c>
      <c r="N5" s="2"/>
      <c r="O5" s="2"/>
      <c r="P5" s="2"/>
      <c r="Q5" s="2"/>
    </row>
    <row r="6" spans="1:19" x14ac:dyDescent="0.3">
      <c r="A6" s="1"/>
      <c r="M6" s="1" t="s">
        <v>12</v>
      </c>
      <c r="N6" s="2"/>
      <c r="O6" s="2"/>
      <c r="P6" s="2"/>
      <c r="Q6" s="2"/>
    </row>
    <row r="7" spans="1:19" x14ac:dyDescent="0.3">
      <c r="A7" s="1"/>
    </row>
    <row r="8" spans="1:19" x14ac:dyDescent="0.3">
      <c r="A8" s="1"/>
      <c r="M8" s="1" t="s">
        <v>13</v>
      </c>
      <c r="N8" s="2"/>
      <c r="O8" s="2"/>
      <c r="P8" s="2"/>
      <c r="Q8" s="2"/>
      <c r="S8" t="s">
        <v>14</v>
      </c>
    </row>
    <row r="9" spans="1:19" x14ac:dyDescent="0.3">
      <c r="A9" s="1"/>
      <c r="M9" s="1" t="s">
        <v>15</v>
      </c>
      <c r="N9" s="2"/>
      <c r="O9" s="2"/>
      <c r="P9" s="2"/>
      <c r="Q9" s="2"/>
      <c r="S9" s="4" t="e">
        <f>AVERAGE(N8:Q13)</f>
        <v>#DIV/0!</v>
      </c>
    </row>
    <row r="10" spans="1:19" x14ac:dyDescent="0.3">
      <c r="A10" s="1"/>
      <c r="M10" s="1" t="s">
        <v>16</v>
      </c>
      <c r="N10" s="2"/>
      <c r="O10" s="2"/>
      <c r="P10" s="2"/>
      <c r="Q10" s="2"/>
    </row>
    <row r="11" spans="1:19" x14ac:dyDescent="0.3">
      <c r="A11" s="1"/>
      <c r="M11" s="1" t="s">
        <v>17</v>
      </c>
      <c r="N11" s="2"/>
      <c r="O11" s="2"/>
      <c r="P11" s="2"/>
      <c r="Q11" s="2"/>
    </row>
    <row r="12" spans="1:19" x14ac:dyDescent="0.3">
      <c r="A12" s="1"/>
      <c r="M12" s="1" t="s">
        <v>18</v>
      </c>
      <c r="N12" s="2"/>
      <c r="O12" s="2"/>
      <c r="P12" s="2"/>
      <c r="Q12" s="2"/>
    </row>
    <row r="13" spans="1:19" x14ac:dyDescent="0.3">
      <c r="A13" s="1"/>
      <c r="M13" s="1" t="s">
        <v>19</v>
      </c>
      <c r="N13" s="2"/>
      <c r="O13" s="2"/>
      <c r="P13" s="2"/>
      <c r="Q13" s="2"/>
    </row>
    <row r="14" spans="1:19" x14ac:dyDescent="0.3">
      <c r="A14" s="1"/>
    </row>
    <row r="15" spans="1:19" x14ac:dyDescent="0.3">
      <c r="A15" s="1"/>
      <c r="B15" s="2"/>
      <c r="C15" s="2"/>
      <c r="D15" s="2"/>
      <c r="E15" s="2"/>
      <c r="G15" t="s">
        <v>20</v>
      </c>
    </row>
    <row r="16" spans="1:19" x14ac:dyDescent="0.3">
      <c r="A16" s="1"/>
      <c r="B16" s="5" t="e">
        <f>AVERAGE(#REF!)</f>
        <v>#REF!</v>
      </c>
      <c r="C16" s="5" t="e">
        <f>AVERAGE(#REF!)</f>
        <v>#REF!</v>
      </c>
      <c r="D16" s="5" t="e">
        <f>AVERAGE(#REF!)</f>
        <v>#REF!</v>
      </c>
      <c r="E16" s="5" t="e">
        <f>AVERAGE(#REF!)</f>
        <v>#REF!</v>
      </c>
      <c r="G16" s="6" t="e">
        <f>AVERAGE(B16:E16)</f>
        <v>#REF!</v>
      </c>
    </row>
    <row r="21" spans="1:38" ht="15" thickBot="1" x14ac:dyDescent="0.35"/>
    <row r="22" spans="1:38" x14ac:dyDescent="0.3">
      <c r="A22" s="8" t="s">
        <v>21</v>
      </c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1"/>
      <c r="N22" s="8" t="s">
        <v>22</v>
      </c>
      <c r="O22" s="9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1"/>
    </row>
    <row r="23" spans="1:38" x14ac:dyDescent="0.3">
      <c r="A23" s="12"/>
      <c r="B23" s="13"/>
      <c r="C23" t="s">
        <v>26</v>
      </c>
      <c r="L23" s="14"/>
      <c r="N23" s="12"/>
      <c r="O23" s="13" t="s">
        <v>23</v>
      </c>
      <c r="P23" s="13" t="s">
        <v>24</v>
      </c>
      <c r="AA23" s="13" t="s">
        <v>25</v>
      </c>
      <c r="AB23" s="13"/>
      <c r="AC23" s="13"/>
      <c r="AD23" s="13"/>
      <c r="AE23" s="13"/>
      <c r="AF23" s="13"/>
      <c r="AL23" s="14"/>
    </row>
    <row r="24" spans="1:38" x14ac:dyDescent="0.3">
      <c r="A24" s="7">
        <v>1952</v>
      </c>
      <c r="B24" s="15">
        <f>VALUE('1952'!G22)</f>
        <v>4.25</v>
      </c>
      <c r="C24" s="15">
        <f>VALUE(6-B24)</f>
        <v>1.75</v>
      </c>
      <c r="L24" s="14"/>
      <c r="N24" s="7">
        <v>1952</v>
      </c>
      <c r="O24">
        <f>VALUE('1952'!S9)</f>
        <v>21</v>
      </c>
      <c r="P24">
        <f>VALUE('1952'!S2)</f>
        <v>1</v>
      </c>
      <c r="AA24" s="19">
        <v>1952</v>
      </c>
      <c r="AB24">
        <f t="shared" ref="AB24:AB64" si="0">VALUE(O24-P24)</f>
        <v>20</v>
      </c>
      <c r="AL24" s="14"/>
    </row>
    <row r="25" spans="1:38" x14ac:dyDescent="0.3">
      <c r="A25" s="7">
        <v>1953</v>
      </c>
      <c r="B25" s="15">
        <f>VALUE('1953'!G16)</f>
        <v>4.2361111111111107</v>
      </c>
      <c r="C25" s="15">
        <f t="shared" ref="C25:C64" si="1">VALUE(6-B25)</f>
        <v>1.7638888888888893</v>
      </c>
      <c r="L25" s="14"/>
      <c r="N25" s="7">
        <v>1953</v>
      </c>
      <c r="O25">
        <f>VALUE('1953'!S9)</f>
        <v>25</v>
      </c>
      <c r="P25">
        <f>VALUE('1953'!S2)</f>
        <v>0</v>
      </c>
      <c r="AA25" s="19">
        <v>1953</v>
      </c>
      <c r="AB25">
        <f t="shared" si="0"/>
        <v>25</v>
      </c>
      <c r="AL25" s="14"/>
    </row>
    <row r="26" spans="1:38" x14ac:dyDescent="0.3">
      <c r="A26" s="7">
        <v>1954</v>
      </c>
      <c r="B26" s="15">
        <f>VALUE('1954'!G15)</f>
        <v>4.041666666666667</v>
      </c>
      <c r="C26" s="15">
        <f t="shared" si="1"/>
        <v>1.958333333333333</v>
      </c>
      <c r="L26" s="14"/>
      <c r="N26" s="7">
        <v>1954</v>
      </c>
      <c r="O26">
        <f>VALUE('1954'!S9)</f>
        <v>8</v>
      </c>
      <c r="P26">
        <f>VALUE('1954'!S2)</f>
        <v>0</v>
      </c>
      <c r="AA26" s="19">
        <v>1954</v>
      </c>
      <c r="AB26">
        <f t="shared" si="0"/>
        <v>8</v>
      </c>
      <c r="AL26" s="14"/>
    </row>
    <row r="27" spans="1:38" x14ac:dyDescent="0.3">
      <c r="A27" s="7">
        <v>1955</v>
      </c>
      <c r="B27" s="15">
        <f>VALUE('1955'!G28)</f>
        <v>3.458333333333333</v>
      </c>
      <c r="C27" s="15">
        <f t="shared" si="1"/>
        <v>2.541666666666667</v>
      </c>
      <c r="L27" s="14"/>
      <c r="N27" s="7">
        <v>1955</v>
      </c>
      <c r="O27">
        <f>VALUE('1955'!S9)</f>
        <v>5</v>
      </c>
      <c r="P27">
        <f>VALUE('1955'!S2)</f>
        <v>0</v>
      </c>
      <c r="AA27" s="19">
        <v>1955</v>
      </c>
      <c r="AB27">
        <f t="shared" si="0"/>
        <v>5</v>
      </c>
      <c r="AL27" s="14"/>
    </row>
    <row r="28" spans="1:38" x14ac:dyDescent="0.3">
      <c r="A28" s="7">
        <v>1956</v>
      </c>
      <c r="B28" s="15">
        <f>VALUE('1956'!G24)</f>
        <v>4.056766917293233</v>
      </c>
      <c r="C28" s="15">
        <f t="shared" si="1"/>
        <v>1.943233082706767</v>
      </c>
      <c r="L28" s="14"/>
      <c r="N28" s="7">
        <v>1956</v>
      </c>
      <c r="O28">
        <f>VALUE('1956'!S9)</f>
        <v>35</v>
      </c>
      <c r="P28">
        <f>VALUE('1956'!S2)</f>
        <v>2</v>
      </c>
      <c r="AA28" s="19">
        <v>1956</v>
      </c>
      <c r="AB28">
        <f t="shared" si="0"/>
        <v>33</v>
      </c>
      <c r="AL28" s="14"/>
    </row>
    <row r="29" spans="1:38" x14ac:dyDescent="0.3">
      <c r="A29" s="7">
        <v>1957</v>
      </c>
      <c r="B29" s="15">
        <f>VALUE('1957'!G38)</f>
        <v>3.9179864253393664</v>
      </c>
      <c r="C29" s="15">
        <f t="shared" si="1"/>
        <v>2.0820135746606336</v>
      </c>
      <c r="L29" s="14"/>
      <c r="N29" s="7">
        <v>1957</v>
      </c>
      <c r="O29">
        <f>VALUE('1957'!S9)</f>
        <v>37</v>
      </c>
      <c r="P29">
        <f>VALUE('1957'!S2)</f>
        <v>4</v>
      </c>
      <c r="AA29" s="19">
        <v>1957</v>
      </c>
      <c r="AB29">
        <f t="shared" si="0"/>
        <v>33</v>
      </c>
      <c r="AL29" s="14"/>
    </row>
    <row r="30" spans="1:38" x14ac:dyDescent="0.3">
      <c r="A30" s="7">
        <v>1958</v>
      </c>
      <c r="B30" s="15">
        <f>VALUE('1958'!G24)</f>
        <v>3.5504385964912282</v>
      </c>
      <c r="C30" s="15">
        <f t="shared" si="1"/>
        <v>2.4495614035087718</v>
      </c>
      <c r="L30" s="14"/>
      <c r="N30" s="7">
        <v>1958</v>
      </c>
      <c r="O30">
        <f>VALUE('1958'!S9)</f>
        <v>33</v>
      </c>
      <c r="P30">
        <f>VALUE('1958'!S2)</f>
        <v>3</v>
      </c>
      <c r="AA30" s="19">
        <v>1958</v>
      </c>
      <c r="AB30">
        <f t="shared" si="0"/>
        <v>30</v>
      </c>
      <c r="AL30" s="14"/>
    </row>
    <row r="31" spans="1:38" x14ac:dyDescent="0.3">
      <c r="A31" s="7">
        <v>1959</v>
      </c>
      <c r="B31" s="15">
        <f>VALUE('1959'!G30)</f>
        <v>3.730649784997611</v>
      </c>
      <c r="C31" s="15">
        <f t="shared" si="1"/>
        <v>2.269350215002389</v>
      </c>
      <c r="L31" s="14"/>
      <c r="N31" s="7">
        <v>1959</v>
      </c>
      <c r="O31">
        <f>VALUE('1959'!S9)</f>
        <v>35</v>
      </c>
      <c r="P31">
        <f>VALUE('1959'!S2)</f>
        <v>1</v>
      </c>
      <c r="AA31" s="19">
        <v>1959</v>
      </c>
      <c r="AB31">
        <f t="shared" si="0"/>
        <v>34</v>
      </c>
      <c r="AL31" s="14"/>
    </row>
    <row r="32" spans="1:38" x14ac:dyDescent="0.3">
      <c r="A32" s="7">
        <v>1960</v>
      </c>
      <c r="B32" s="15">
        <f>VALUE('1960'!G27)</f>
        <v>3.5606625258799172</v>
      </c>
      <c r="C32" s="15">
        <f t="shared" si="1"/>
        <v>2.4393374741200828</v>
      </c>
      <c r="L32" s="14"/>
      <c r="N32" s="7">
        <v>1960</v>
      </c>
      <c r="O32">
        <f>VALUE('1960'!S9)</f>
        <v>22</v>
      </c>
      <c r="P32">
        <f>VALUE('1960'!S2)</f>
        <v>1</v>
      </c>
      <c r="AA32" s="19">
        <v>1960</v>
      </c>
      <c r="AB32">
        <f t="shared" si="0"/>
        <v>21</v>
      </c>
      <c r="AL32" s="14"/>
    </row>
    <row r="33" spans="1:38" x14ac:dyDescent="0.3">
      <c r="A33" s="7">
        <v>1961</v>
      </c>
      <c r="B33" s="15">
        <f>VALUE('1961'!G28)</f>
        <v>3.4319047619047622</v>
      </c>
      <c r="C33" s="15">
        <f t="shared" si="1"/>
        <v>2.5680952380952378</v>
      </c>
      <c r="L33" s="14"/>
      <c r="N33" s="7">
        <v>1961</v>
      </c>
      <c r="O33">
        <f>VALUE('1961'!S9)</f>
        <v>23</v>
      </c>
      <c r="P33">
        <f>VALUE('1961'!S2)</f>
        <v>0</v>
      </c>
      <c r="AA33" s="19">
        <v>1961</v>
      </c>
      <c r="AB33">
        <f t="shared" si="0"/>
        <v>23</v>
      </c>
      <c r="AL33" s="14"/>
    </row>
    <row r="34" spans="1:38" x14ac:dyDescent="0.3">
      <c r="A34" s="7">
        <v>1962</v>
      </c>
      <c r="B34" s="15">
        <f>VALUE('1962'!G18)</f>
        <v>3.5104166666666665</v>
      </c>
      <c r="C34" s="15">
        <f t="shared" si="1"/>
        <v>2.4895833333333335</v>
      </c>
      <c r="L34" s="14"/>
      <c r="N34" s="7">
        <v>1962</v>
      </c>
      <c r="O34">
        <f>VALUE('1962'!S9)</f>
        <v>20</v>
      </c>
      <c r="P34">
        <f>VALUE('1962'!S2)</f>
        <v>0</v>
      </c>
      <c r="AA34" s="19">
        <v>1962</v>
      </c>
      <c r="AB34">
        <f t="shared" si="0"/>
        <v>20</v>
      </c>
      <c r="AL34" s="14"/>
    </row>
    <row r="35" spans="1:38" x14ac:dyDescent="0.3">
      <c r="A35" s="7">
        <v>1963</v>
      </c>
      <c r="B35" s="15">
        <f>VALUE('1963'!G15)</f>
        <v>3.3847402597402598</v>
      </c>
      <c r="C35" s="15">
        <f t="shared" si="1"/>
        <v>2.6152597402597402</v>
      </c>
      <c r="L35" s="14"/>
      <c r="N35" s="7">
        <v>1963</v>
      </c>
      <c r="O35">
        <f>VALUE('1963'!S9)</f>
        <v>45</v>
      </c>
      <c r="P35">
        <f>VALUE('1963'!S2)</f>
        <v>0</v>
      </c>
      <c r="AA35" s="19">
        <v>1963</v>
      </c>
      <c r="AB35">
        <f t="shared" si="0"/>
        <v>45</v>
      </c>
      <c r="AL35" s="14"/>
    </row>
    <row r="36" spans="1:38" x14ac:dyDescent="0.3">
      <c r="A36" s="7">
        <v>1964</v>
      </c>
      <c r="B36" s="15">
        <f>VALUE('1964'!G22)</f>
        <v>3.6805555555555554</v>
      </c>
      <c r="C36" s="15">
        <f t="shared" si="1"/>
        <v>2.3194444444444446</v>
      </c>
      <c r="L36" s="14"/>
      <c r="N36" s="7">
        <v>1964</v>
      </c>
      <c r="O36">
        <f>VALUE('1964'!S9)</f>
        <v>44</v>
      </c>
      <c r="P36">
        <f>VALUE('1964'!S2)</f>
        <v>1</v>
      </c>
      <c r="AA36" s="19">
        <v>1964</v>
      </c>
      <c r="AB36">
        <f t="shared" si="0"/>
        <v>43</v>
      </c>
      <c r="AL36" s="14"/>
    </row>
    <row r="37" spans="1:38" x14ac:dyDescent="0.3">
      <c r="A37" s="7">
        <v>1965</v>
      </c>
      <c r="B37" s="15">
        <f>VALUE('1965'!G16)</f>
        <v>3.2961309523809521</v>
      </c>
      <c r="C37" s="15">
        <f t="shared" si="1"/>
        <v>2.7038690476190479</v>
      </c>
      <c r="L37" s="14"/>
      <c r="N37" s="7">
        <v>1965</v>
      </c>
      <c r="O37">
        <f>VALUE('1965'!S9)</f>
        <v>38</v>
      </c>
      <c r="P37">
        <f>VALUE('1965'!S2)</f>
        <v>1</v>
      </c>
      <c r="AA37" s="19">
        <v>1965</v>
      </c>
      <c r="AB37">
        <f t="shared" si="0"/>
        <v>37</v>
      </c>
      <c r="AL37" s="14"/>
    </row>
    <row r="38" spans="1:38" x14ac:dyDescent="0.3">
      <c r="A38" s="7">
        <v>1966</v>
      </c>
      <c r="B38" s="15">
        <f>VALUE('1966'!G22)</f>
        <v>3.5964912280701755</v>
      </c>
      <c r="C38" s="15">
        <f t="shared" si="1"/>
        <v>2.4035087719298245</v>
      </c>
      <c r="L38" s="14"/>
      <c r="N38" s="7">
        <v>1966</v>
      </c>
      <c r="O38">
        <f>VALUE('1966'!S9)</f>
        <v>20</v>
      </c>
      <c r="P38">
        <f>VALUE('1966'!S2)</f>
        <v>1</v>
      </c>
      <c r="AA38" s="19">
        <v>1966</v>
      </c>
      <c r="AB38">
        <f t="shared" si="0"/>
        <v>19</v>
      </c>
      <c r="AL38" s="14"/>
    </row>
    <row r="39" spans="1:38" x14ac:dyDescent="0.3">
      <c r="A39" s="7">
        <v>1967</v>
      </c>
      <c r="B39" s="15">
        <f>VALUE('1967'!G20)</f>
        <v>2.9744318181818183</v>
      </c>
      <c r="C39" s="15">
        <f t="shared" si="1"/>
        <v>3.0255681818181817</v>
      </c>
      <c r="L39" s="14"/>
      <c r="N39" s="7">
        <v>1967</v>
      </c>
      <c r="O39">
        <f>VALUE('1967'!S9)</f>
        <v>35</v>
      </c>
      <c r="P39">
        <f>VALUE('1967'!S2)</f>
        <v>0</v>
      </c>
      <c r="AA39" s="19">
        <v>1967</v>
      </c>
      <c r="AB39">
        <f t="shared" si="0"/>
        <v>35</v>
      </c>
      <c r="AL39" s="14"/>
    </row>
    <row r="40" spans="1:38" x14ac:dyDescent="0.3">
      <c r="A40" s="7">
        <v>1968</v>
      </c>
      <c r="B40" s="15">
        <f>VALUE('1968'!G15)</f>
        <v>2.4214285714285713</v>
      </c>
      <c r="C40" s="15">
        <f t="shared" si="1"/>
        <v>3.5785714285714287</v>
      </c>
      <c r="L40" s="14"/>
      <c r="N40" s="7">
        <v>1968</v>
      </c>
      <c r="O40">
        <f>VALUE('1968'!S9)</f>
        <v>24</v>
      </c>
      <c r="P40">
        <f>VALUE('1968'!S2)</f>
        <v>1</v>
      </c>
      <c r="AA40" s="19">
        <v>1968</v>
      </c>
      <c r="AB40">
        <f t="shared" si="0"/>
        <v>23</v>
      </c>
      <c r="AL40" s="14"/>
    </row>
    <row r="41" spans="1:38" x14ac:dyDescent="0.3">
      <c r="A41" s="7">
        <v>1969</v>
      </c>
      <c r="B41" s="15">
        <f>VALUE('1969'!G11)</f>
        <v>1.9357142857142855</v>
      </c>
      <c r="C41" s="15">
        <f t="shared" si="1"/>
        <v>4.0642857142857149</v>
      </c>
      <c r="L41" s="14"/>
      <c r="N41" s="7">
        <v>1969</v>
      </c>
      <c r="O41">
        <f>VALUE('1969'!S9)</f>
        <v>11</v>
      </c>
      <c r="P41">
        <f>VALUE('1969'!S2)</f>
        <v>1</v>
      </c>
      <c r="AA41" s="19">
        <v>1969</v>
      </c>
      <c r="AB41">
        <f t="shared" si="0"/>
        <v>10</v>
      </c>
      <c r="AL41" s="14"/>
    </row>
    <row r="42" spans="1:38" x14ac:dyDescent="0.3">
      <c r="A42" s="7">
        <v>1970</v>
      </c>
      <c r="B42" s="15">
        <f>VALUE('1970'!G22)</f>
        <v>3.7749999999999999</v>
      </c>
      <c r="C42" s="15">
        <f t="shared" si="1"/>
        <v>2.2250000000000001</v>
      </c>
      <c r="L42" s="14"/>
      <c r="N42" s="7">
        <v>1970</v>
      </c>
      <c r="O42">
        <f>VALUE('1970'!S9)</f>
        <v>27</v>
      </c>
      <c r="P42">
        <f>VALUE('1970'!S2)</f>
        <v>1</v>
      </c>
      <c r="AA42" s="19">
        <v>1970</v>
      </c>
      <c r="AB42">
        <f t="shared" si="0"/>
        <v>26</v>
      </c>
      <c r="AL42" s="14"/>
    </row>
    <row r="43" spans="1:38" x14ac:dyDescent="0.3">
      <c r="A43" s="7">
        <v>1971</v>
      </c>
      <c r="B43" s="15">
        <f>VALUE('1971'!G25)</f>
        <v>3.3942307692307687</v>
      </c>
      <c r="C43" s="15">
        <f t="shared" si="1"/>
        <v>2.6057692307692313</v>
      </c>
      <c r="L43" s="14"/>
      <c r="N43" s="7">
        <v>1971</v>
      </c>
      <c r="O43">
        <f>VALUE('1971'!S9)</f>
        <v>22</v>
      </c>
      <c r="P43">
        <f>VALUE('1971'!S2)</f>
        <v>0</v>
      </c>
      <c r="AA43" s="19">
        <v>1971</v>
      </c>
      <c r="AB43">
        <f t="shared" si="0"/>
        <v>22</v>
      </c>
      <c r="AL43" s="14"/>
    </row>
    <row r="44" spans="1:38" x14ac:dyDescent="0.3">
      <c r="A44" s="7">
        <v>1972</v>
      </c>
      <c r="B44" s="15">
        <f>VALUE('1972'!G16)</f>
        <v>3.5979166666666664</v>
      </c>
      <c r="C44" s="15">
        <f t="shared" si="1"/>
        <v>2.4020833333333336</v>
      </c>
      <c r="L44" s="14"/>
      <c r="N44" s="7">
        <v>1972</v>
      </c>
      <c r="O44">
        <f>VALUE('1972'!S9)</f>
        <v>20</v>
      </c>
      <c r="P44">
        <f>VALUE('1972'!S2)</f>
        <v>1</v>
      </c>
      <c r="AA44" s="19">
        <v>1972</v>
      </c>
      <c r="AB44">
        <f t="shared" si="0"/>
        <v>19</v>
      </c>
      <c r="AL44" s="14"/>
    </row>
    <row r="45" spans="1:38" x14ac:dyDescent="0.3">
      <c r="A45" s="7">
        <v>1973</v>
      </c>
      <c r="B45" s="15">
        <f>VALUE('1973'!G14)</f>
        <v>2.7276785714285712</v>
      </c>
      <c r="C45" s="15">
        <f t="shared" si="1"/>
        <v>3.2723214285714288</v>
      </c>
      <c r="L45" s="14"/>
      <c r="N45" s="7">
        <v>1973</v>
      </c>
      <c r="O45">
        <f>VALUE('1973'!S9)</f>
        <v>21</v>
      </c>
      <c r="P45">
        <f>VALUE('1973'!S2)</f>
        <v>0</v>
      </c>
      <c r="AA45" s="19">
        <v>1973</v>
      </c>
      <c r="AB45">
        <f t="shared" si="0"/>
        <v>21</v>
      </c>
      <c r="AL45" s="14"/>
    </row>
    <row r="46" spans="1:38" x14ac:dyDescent="0.3">
      <c r="A46" s="7">
        <v>1974</v>
      </c>
      <c r="B46" s="15">
        <f>VALUE('1974'!G25)</f>
        <v>2.894327164064006</v>
      </c>
      <c r="C46" s="15">
        <f t="shared" si="1"/>
        <v>3.105672835935994</v>
      </c>
      <c r="L46" s="14"/>
      <c r="N46" s="7">
        <v>1974</v>
      </c>
      <c r="O46">
        <f>VALUE('1974'!S9)</f>
        <v>26</v>
      </c>
      <c r="P46">
        <f>VALUE('1974'!S2)</f>
        <v>0</v>
      </c>
      <c r="AA46" s="19">
        <v>1974</v>
      </c>
      <c r="AB46">
        <f t="shared" si="0"/>
        <v>26</v>
      </c>
      <c r="AL46" s="14"/>
    </row>
    <row r="47" spans="1:38" x14ac:dyDescent="0.3">
      <c r="A47" s="7">
        <v>1975</v>
      </c>
      <c r="B47" s="15">
        <f>VALUE('1975'!G21)</f>
        <v>3.3641748366013071</v>
      </c>
      <c r="C47" s="15">
        <f t="shared" si="1"/>
        <v>2.6358251633986929</v>
      </c>
      <c r="L47" s="14"/>
      <c r="N47" s="7">
        <v>1975</v>
      </c>
      <c r="O47">
        <f>VALUE('1975'!S9)</f>
        <v>37</v>
      </c>
      <c r="P47">
        <f>VALUE('1975'!S2)</f>
        <v>5</v>
      </c>
      <c r="AA47" s="19">
        <v>1975</v>
      </c>
      <c r="AB47">
        <f t="shared" si="0"/>
        <v>32</v>
      </c>
      <c r="AL47" s="14"/>
    </row>
    <row r="48" spans="1:38" x14ac:dyDescent="0.3">
      <c r="A48" s="7">
        <v>1976</v>
      </c>
      <c r="B48" s="15">
        <f>VALUE('1976'!G21)</f>
        <v>3.4763071895424833</v>
      </c>
      <c r="C48" s="15">
        <f t="shared" si="1"/>
        <v>2.5236928104575167</v>
      </c>
      <c r="L48" s="14"/>
      <c r="N48" s="7">
        <v>1976</v>
      </c>
      <c r="O48">
        <f>VALUE('1976'!S9)</f>
        <v>41</v>
      </c>
      <c r="P48">
        <f>VALUE('1976'!S2)</f>
        <v>3</v>
      </c>
      <c r="AA48" s="19">
        <v>1976</v>
      </c>
      <c r="AB48">
        <f t="shared" si="0"/>
        <v>38</v>
      </c>
      <c r="AL48" s="14"/>
    </row>
    <row r="49" spans="1:38" x14ac:dyDescent="0.3">
      <c r="A49" s="7">
        <v>1977</v>
      </c>
      <c r="B49" s="15">
        <f>VALUE('1977'!G15)</f>
        <v>4.5517857142857148</v>
      </c>
      <c r="C49" s="15">
        <f t="shared" si="1"/>
        <v>1.4482142857142852</v>
      </c>
      <c r="L49" s="14"/>
      <c r="N49" s="7">
        <v>1977</v>
      </c>
      <c r="O49">
        <f>VALUE('1977'!S9)</f>
        <v>46</v>
      </c>
      <c r="P49">
        <f>VALUE('1977'!S2)</f>
        <v>1</v>
      </c>
      <c r="AA49" s="19">
        <v>1977</v>
      </c>
      <c r="AB49">
        <f t="shared" si="0"/>
        <v>45</v>
      </c>
      <c r="AL49" s="14"/>
    </row>
    <row r="50" spans="1:38" x14ac:dyDescent="0.3">
      <c r="A50" s="7">
        <v>1978</v>
      </c>
      <c r="B50" s="15">
        <f>VALUE('1978'!G19)</f>
        <v>3.4666666666666668</v>
      </c>
      <c r="C50" s="15">
        <f t="shared" si="1"/>
        <v>2.5333333333333332</v>
      </c>
      <c r="L50" s="14"/>
      <c r="N50" s="7">
        <v>1978</v>
      </c>
      <c r="O50">
        <f>VALUE('1978'!S9)</f>
        <v>25</v>
      </c>
      <c r="P50">
        <f>VALUE('1978'!S2)</f>
        <v>3</v>
      </c>
      <c r="AA50" s="19">
        <v>1978</v>
      </c>
      <c r="AB50">
        <f t="shared" si="0"/>
        <v>22</v>
      </c>
      <c r="AL50" s="14"/>
    </row>
    <row r="51" spans="1:38" x14ac:dyDescent="0.3">
      <c r="A51" s="7">
        <v>1979</v>
      </c>
      <c r="B51" s="15">
        <f>VALUE('1979'!G26)</f>
        <v>4.6174242424242431</v>
      </c>
      <c r="C51" s="15">
        <f t="shared" si="1"/>
        <v>1.3825757575757569</v>
      </c>
      <c r="L51" s="14"/>
      <c r="N51" s="7">
        <v>1979</v>
      </c>
      <c r="O51">
        <f>VALUE('1979'!S9)</f>
        <v>48</v>
      </c>
      <c r="P51">
        <f>VALUE('1979'!S2)</f>
        <v>0</v>
      </c>
      <c r="AA51" s="19">
        <v>1979</v>
      </c>
      <c r="AB51">
        <f t="shared" si="0"/>
        <v>48</v>
      </c>
      <c r="AL51" s="14"/>
    </row>
    <row r="52" spans="1:38" x14ac:dyDescent="0.3">
      <c r="A52" s="7">
        <v>1980</v>
      </c>
      <c r="B52" s="15">
        <f>VALUE('1980'!G17)</f>
        <v>3.625</v>
      </c>
      <c r="C52" s="15">
        <f t="shared" si="1"/>
        <v>2.375</v>
      </c>
      <c r="L52" s="14"/>
      <c r="N52" s="7">
        <v>1980</v>
      </c>
      <c r="O52">
        <f>VALUE('1980'!S9)</f>
        <v>30</v>
      </c>
      <c r="P52">
        <f>VALUE('1980'!S2)</f>
        <v>0</v>
      </c>
      <c r="AA52" s="19">
        <v>1980</v>
      </c>
      <c r="AB52">
        <f t="shared" si="0"/>
        <v>30</v>
      </c>
      <c r="AL52" s="14"/>
    </row>
    <row r="53" spans="1:38" x14ac:dyDescent="0.3">
      <c r="A53" s="7">
        <v>1981</v>
      </c>
      <c r="B53" s="15">
        <f>VALUE('1981'!G23)</f>
        <v>3.7739234449760763</v>
      </c>
      <c r="C53" s="15">
        <f t="shared" si="1"/>
        <v>2.2260765550239237</v>
      </c>
      <c r="L53" s="14"/>
      <c r="N53" s="7">
        <v>1981</v>
      </c>
      <c r="O53">
        <f>VALUE('1981'!S9)</f>
        <v>13</v>
      </c>
      <c r="P53">
        <f>VALUE('1981'!S2)</f>
        <v>0</v>
      </c>
      <c r="AA53" s="19">
        <v>1981</v>
      </c>
      <c r="AB53">
        <f t="shared" si="0"/>
        <v>13</v>
      </c>
      <c r="AL53" s="14"/>
    </row>
    <row r="54" spans="1:38" x14ac:dyDescent="0.3">
      <c r="A54" s="7">
        <v>1982</v>
      </c>
      <c r="B54" s="15">
        <f>VALUE('1982'!G14)</f>
        <v>3.2982142857142858</v>
      </c>
      <c r="C54" s="15">
        <f t="shared" si="1"/>
        <v>2.7017857142857142</v>
      </c>
      <c r="L54" s="14"/>
      <c r="N54" s="7">
        <v>1982</v>
      </c>
      <c r="O54">
        <f>VALUE('1982'!S9)</f>
        <v>27</v>
      </c>
      <c r="P54">
        <f>VALUE('1982'!S2)</f>
        <v>2</v>
      </c>
      <c r="AA54" s="19">
        <v>1982</v>
      </c>
      <c r="AB54">
        <f t="shared" si="0"/>
        <v>25</v>
      </c>
      <c r="AL54" s="14"/>
    </row>
    <row r="55" spans="1:38" x14ac:dyDescent="0.3">
      <c r="A55" s="7">
        <v>1983</v>
      </c>
      <c r="B55" s="15">
        <f>VALUE('1983'!G13)</f>
        <v>3.3878968253968256</v>
      </c>
      <c r="C55" s="15">
        <f t="shared" si="1"/>
        <v>2.6121031746031744</v>
      </c>
      <c r="L55" s="14"/>
      <c r="N55" s="7">
        <v>1983</v>
      </c>
      <c r="O55">
        <f>VALUE('1983'!S9)</f>
        <v>21</v>
      </c>
      <c r="P55">
        <f>VALUE('1983'!S2)</f>
        <v>2</v>
      </c>
      <c r="AA55" s="19">
        <v>1983</v>
      </c>
      <c r="AB55">
        <f t="shared" si="0"/>
        <v>19</v>
      </c>
      <c r="AL55" s="14"/>
    </row>
    <row r="56" spans="1:38" x14ac:dyDescent="0.3">
      <c r="A56" s="7">
        <v>1984</v>
      </c>
      <c r="B56" s="15">
        <f>VALUE('1984'!G23)</f>
        <v>3.6055555555555552</v>
      </c>
      <c r="C56" s="15">
        <f t="shared" si="1"/>
        <v>2.3944444444444448</v>
      </c>
      <c r="L56" s="14"/>
      <c r="N56" s="7">
        <v>1984</v>
      </c>
      <c r="O56">
        <f>VALUE('1984'!S9)</f>
        <v>38</v>
      </c>
      <c r="P56">
        <f>VALUE('1984'!S2)</f>
        <v>1</v>
      </c>
      <c r="AA56" s="19">
        <v>1984</v>
      </c>
      <c r="AB56">
        <f t="shared" si="0"/>
        <v>37</v>
      </c>
      <c r="AL56" s="14"/>
    </row>
    <row r="57" spans="1:38" x14ac:dyDescent="0.3">
      <c r="A57" s="7">
        <v>1985</v>
      </c>
      <c r="B57" s="15">
        <f>VALUE('1985'!G23)</f>
        <v>3.8607142857142858</v>
      </c>
      <c r="C57" s="15">
        <f t="shared" si="1"/>
        <v>2.1392857142857142</v>
      </c>
      <c r="L57" s="14"/>
      <c r="N57" s="7">
        <v>1985</v>
      </c>
      <c r="O57">
        <f>VALUE('1985'!S9)</f>
        <v>34</v>
      </c>
      <c r="P57">
        <f>VALUE('1985'!S2)</f>
        <v>1</v>
      </c>
      <c r="AA57" s="19">
        <v>1985</v>
      </c>
      <c r="AB57">
        <f t="shared" si="0"/>
        <v>33</v>
      </c>
      <c r="AL57" s="14"/>
    </row>
    <row r="58" spans="1:38" x14ac:dyDescent="0.3">
      <c r="A58" s="7">
        <v>1986</v>
      </c>
      <c r="B58" s="15">
        <f>VALUE('1986'!G19)</f>
        <v>3.5</v>
      </c>
      <c r="C58" s="15">
        <f t="shared" si="1"/>
        <v>2.5</v>
      </c>
      <c r="L58" s="14"/>
      <c r="N58" s="7">
        <v>1986</v>
      </c>
      <c r="O58">
        <f>VALUE('1986'!S9)</f>
        <v>37</v>
      </c>
      <c r="P58">
        <f>VALUE('1986'!S2)</f>
        <v>1</v>
      </c>
      <c r="AA58" s="19">
        <v>1986</v>
      </c>
      <c r="AB58">
        <f t="shared" si="0"/>
        <v>36</v>
      </c>
      <c r="AL58" s="14"/>
    </row>
    <row r="59" spans="1:38" x14ac:dyDescent="0.3">
      <c r="A59" s="7">
        <v>1987</v>
      </c>
      <c r="B59" s="15">
        <f>VALUE('1987'!G18)</f>
        <v>3.9017857142857144</v>
      </c>
      <c r="C59" s="15">
        <f t="shared" si="1"/>
        <v>2.0982142857142856</v>
      </c>
      <c r="L59" s="14"/>
      <c r="N59" s="7">
        <v>1987</v>
      </c>
      <c r="O59">
        <f>VALUE('1987'!S9)</f>
        <v>32</v>
      </c>
      <c r="P59">
        <f>VALUE('1987'!S2)</f>
        <v>2</v>
      </c>
      <c r="AA59" s="19">
        <v>1987</v>
      </c>
      <c r="AB59">
        <f t="shared" si="0"/>
        <v>30</v>
      </c>
      <c r="AL59" s="14"/>
    </row>
    <row r="60" spans="1:38" x14ac:dyDescent="0.3">
      <c r="A60" s="7">
        <v>1988</v>
      </c>
      <c r="B60" s="15">
        <f>VALUE('1988'!G16)</f>
        <v>3.9914772727272725</v>
      </c>
      <c r="C60" s="15">
        <f t="shared" si="1"/>
        <v>2.0085227272727275</v>
      </c>
      <c r="L60" s="14"/>
      <c r="N60" s="7">
        <v>1988</v>
      </c>
      <c r="O60">
        <f>VALUE('1988'!S9)</f>
        <v>25</v>
      </c>
      <c r="P60">
        <f>VALUE('1988'!S2)</f>
        <v>0</v>
      </c>
      <c r="AA60" s="19">
        <v>1988</v>
      </c>
      <c r="AB60">
        <f t="shared" si="0"/>
        <v>25</v>
      </c>
      <c r="AL60" s="14"/>
    </row>
    <row r="61" spans="1:38" x14ac:dyDescent="0.3">
      <c r="A61" s="7">
        <v>1989</v>
      </c>
      <c r="B61" s="15">
        <f>VALUE('1989'!G14)</f>
        <v>3.5883928571428569</v>
      </c>
      <c r="C61" s="15">
        <f t="shared" si="1"/>
        <v>2.4116071428571431</v>
      </c>
      <c r="L61" s="14"/>
      <c r="N61" s="7">
        <v>1989</v>
      </c>
      <c r="O61">
        <f>VALUE('1989'!S9)</f>
        <v>32</v>
      </c>
      <c r="P61">
        <f>VALUE('1989'!S2)</f>
        <v>0</v>
      </c>
      <c r="AA61" s="19">
        <v>1989</v>
      </c>
      <c r="AB61">
        <f t="shared" si="0"/>
        <v>32</v>
      </c>
      <c r="AL61" s="14"/>
    </row>
    <row r="62" spans="1:38" x14ac:dyDescent="0.3">
      <c r="A62" s="7">
        <v>1990</v>
      </c>
      <c r="B62" s="15">
        <f>VALUE('1990'!G12)</f>
        <v>3.875</v>
      </c>
      <c r="C62" s="15">
        <f t="shared" si="1"/>
        <v>2.125</v>
      </c>
      <c r="L62" s="14"/>
      <c r="N62" s="7">
        <v>1990</v>
      </c>
      <c r="O62">
        <f>VALUE('1990'!S9)</f>
        <v>27</v>
      </c>
      <c r="P62">
        <f>VALUE('1990'!S2)</f>
        <v>0</v>
      </c>
      <c r="AA62" s="19">
        <v>1990</v>
      </c>
      <c r="AB62">
        <f t="shared" si="0"/>
        <v>27</v>
      </c>
      <c r="AL62" s="14"/>
    </row>
    <row r="63" spans="1:38" x14ac:dyDescent="0.3">
      <c r="A63" s="7">
        <v>1991</v>
      </c>
      <c r="B63" s="15">
        <f>VALUE('1991'!G21)</f>
        <v>3.7647058823529411</v>
      </c>
      <c r="C63" s="15">
        <f t="shared" si="1"/>
        <v>2.2352941176470589</v>
      </c>
      <c r="L63" s="14"/>
      <c r="N63" s="7">
        <v>1991</v>
      </c>
      <c r="O63">
        <f>VALUE('1991'!S9)</f>
        <v>5</v>
      </c>
      <c r="P63">
        <f>VALUE('1991'!S2)</f>
        <v>0</v>
      </c>
      <c r="AA63" s="19">
        <v>1991</v>
      </c>
      <c r="AB63">
        <f t="shared" si="0"/>
        <v>5</v>
      </c>
      <c r="AL63" s="14"/>
    </row>
    <row r="64" spans="1:38" x14ac:dyDescent="0.3">
      <c r="A64" s="7">
        <v>1992</v>
      </c>
      <c r="B64" s="15">
        <f>VALUE('1992'!G9)</f>
        <v>3.75</v>
      </c>
      <c r="C64" s="15">
        <f t="shared" si="1"/>
        <v>2.25</v>
      </c>
      <c r="L64" s="14"/>
      <c r="N64" s="7">
        <v>1992</v>
      </c>
      <c r="O64">
        <f>VALUE('1992'!S9)</f>
        <v>19</v>
      </c>
      <c r="P64">
        <f>VALUE('1992'!S2)</f>
        <v>1</v>
      </c>
      <c r="AA64" s="19">
        <v>1992</v>
      </c>
      <c r="AB64">
        <f t="shared" si="0"/>
        <v>18</v>
      </c>
      <c r="AL64" s="14"/>
    </row>
    <row r="65" spans="1:38" x14ac:dyDescent="0.3">
      <c r="A65" s="7"/>
      <c r="L65" s="14"/>
      <c r="N65" s="20"/>
      <c r="AL65" s="14"/>
    </row>
    <row r="66" spans="1:38" ht="15" thickBot="1" x14ac:dyDescent="0.35">
      <c r="A66" s="16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8"/>
      <c r="N66" s="16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611BD-0D08-4C6F-8AB7-866F9E7D85E3}">
  <dimension ref="A1:S22"/>
  <sheetViews>
    <sheetView zoomScale="58" workbookViewId="0">
      <selection activeCell="S2" sqref="S2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4</v>
      </c>
      <c r="C2">
        <v>4</v>
      </c>
      <c r="D2">
        <v>4</v>
      </c>
      <c r="E2">
        <v>5</v>
      </c>
      <c r="M2" s="1" t="s">
        <v>7</v>
      </c>
      <c r="N2" s="2"/>
      <c r="O2" s="2"/>
      <c r="P2" s="2"/>
      <c r="Q2" s="2">
        <v>1</v>
      </c>
      <c r="S2" s="4">
        <f>SUM(N1:Q6)</f>
        <v>1</v>
      </c>
    </row>
    <row r="3" spans="1:19" x14ac:dyDescent="0.3">
      <c r="A3" s="1" t="s">
        <v>8</v>
      </c>
      <c r="B3">
        <v>3</v>
      </c>
      <c r="C3">
        <v>4</v>
      </c>
      <c r="D3">
        <v>4</v>
      </c>
      <c r="E3">
        <v>5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4</v>
      </c>
      <c r="C4">
        <v>4</v>
      </c>
      <c r="D4">
        <v>3</v>
      </c>
      <c r="E4">
        <v>4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5</v>
      </c>
      <c r="D5">
        <v>4</v>
      </c>
      <c r="E5">
        <v>4</v>
      </c>
      <c r="M5" s="1" t="s">
        <v>11</v>
      </c>
      <c r="N5" s="2"/>
      <c r="O5" s="2"/>
      <c r="P5" s="2"/>
      <c r="Q5" s="2"/>
    </row>
    <row r="6" spans="1:19" x14ac:dyDescent="0.3">
      <c r="A6" s="1"/>
      <c r="B6">
        <v>4</v>
      </c>
      <c r="D6">
        <v>4</v>
      </c>
      <c r="E6">
        <v>4</v>
      </c>
      <c r="M6" s="1" t="s">
        <v>12</v>
      </c>
      <c r="N6" s="2"/>
      <c r="O6" s="2"/>
      <c r="P6" s="2"/>
      <c r="Q6" s="2"/>
    </row>
    <row r="7" spans="1:19" x14ac:dyDescent="0.3">
      <c r="A7" s="1"/>
      <c r="B7">
        <v>4</v>
      </c>
      <c r="D7">
        <v>4</v>
      </c>
      <c r="E7">
        <v>4</v>
      </c>
    </row>
    <row r="8" spans="1:19" x14ac:dyDescent="0.3">
      <c r="A8" s="1"/>
      <c r="B8">
        <v>4</v>
      </c>
      <c r="D8">
        <v>4</v>
      </c>
      <c r="E8">
        <v>5</v>
      </c>
      <c r="M8" s="1" t="s">
        <v>13</v>
      </c>
      <c r="N8" s="2"/>
      <c r="O8" s="2"/>
      <c r="P8" s="2"/>
      <c r="Q8" s="2"/>
      <c r="S8" t="s">
        <v>14</v>
      </c>
    </row>
    <row r="9" spans="1:19" x14ac:dyDescent="0.3">
      <c r="A9" s="1"/>
      <c r="B9">
        <v>4</v>
      </c>
      <c r="D9">
        <v>4</v>
      </c>
      <c r="E9">
        <v>4</v>
      </c>
      <c r="M9" s="1" t="s">
        <v>15</v>
      </c>
      <c r="N9" s="2"/>
      <c r="O9" s="2"/>
      <c r="P9" s="2"/>
      <c r="Q9" s="2"/>
      <c r="S9" s="4">
        <f>SUM(N8:Q13)</f>
        <v>21</v>
      </c>
    </row>
    <row r="10" spans="1:19" x14ac:dyDescent="0.3">
      <c r="A10" s="1"/>
      <c r="B10">
        <v>4</v>
      </c>
      <c r="D10">
        <v>4</v>
      </c>
      <c r="E10">
        <v>6</v>
      </c>
      <c r="M10" s="1" t="s">
        <v>16</v>
      </c>
      <c r="N10" s="2"/>
      <c r="O10" s="2"/>
      <c r="P10" s="2"/>
      <c r="Q10" s="2"/>
    </row>
    <row r="11" spans="1:19" x14ac:dyDescent="0.3">
      <c r="A11" s="1"/>
      <c r="B11">
        <v>4</v>
      </c>
      <c r="D11">
        <v>4</v>
      </c>
      <c r="M11" s="1" t="s">
        <v>17</v>
      </c>
      <c r="N11" s="2"/>
      <c r="O11" s="2"/>
      <c r="P11" s="2"/>
      <c r="Q11" s="2"/>
    </row>
    <row r="12" spans="1:19" x14ac:dyDescent="0.3">
      <c r="A12" s="1"/>
      <c r="B12">
        <v>4</v>
      </c>
      <c r="D12">
        <v>4</v>
      </c>
      <c r="M12" s="1" t="s">
        <v>18</v>
      </c>
      <c r="N12" s="2"/>
      <c r="O12" s="2"/>
      <c r="P12" s="2"/>
      <c r="Q12" s="2"/>
    </row>
    <row r="13" spans="1:19" x14ac:dyDescent="0.3">
      <c r="A13" s="1"/>
      <c r="B13">
        <v>4</v>
      </c>
      <c r="D13">
        <v>4</v>
      </c>
      <c r="M13" s="1" t="s">
        <v>19</v>
      </c>
      <c r="N13" s="2">
        <v>4</v>
      </c>
      <c r="O13" s="2">
        <v>6</v>
      </c>
      <c r="P13" s="2">
        <v>1</v>
      </c>
      <c r="Q13" s="2">
        <v>10</v>
      </c>
    </row>
    <row r="14" spans="1:19" x14ac:dyDescent="0.3">
      <c r="A14" s="1"/>
      <c r="D14">
        <v>6</v>
      </c>
    </row>
    <row r="15" spans="1:19" x14ac:dyDescent="0.3">
      <c r="D15">
        <v>6</v>
      </c>
    </row>
    <row r="16" spans="1:19" x14ac:dyDescent="0.3">
      <c r="D16">
        <v>6</v>
      </c>
    </row>
    <row r="17" spans="2:7" x14ac:dyDescent="0.3">
      <c r="D17">
        <v>5</v>
      </c>
    </row>
    <row r="18" spans="2:7" x14ac:dyDescent="0.3">
      <c r="D18">
        <v>5</v>
      </c>
    </row>
    <row r="19" spans="2:7" x14ac:dyDescent="0.3">
      <c r="D19">
        <v>5</v>
      </c>
    </row>
    <row r="21" spans="2:7" x14ac:dyDescent="0.3">
      <c r="B21" s="2"/>
      <c r="C21" s="2"/>
      <c r="D21" s="2"/>
      <c r="E21" s="2"/>
      <c r="G21" t="s">
        <v>20</v>
      </c>
    </row>
    <row r="22" spans="2:7" x14ac:dyDescent="0.3">
      <c r="B22" s="5">
        <f>AVERAGE(B2:B20)</f>
        <v>4</v>
      </c>
      <c r="C22" s="5">
        <f t="shared" ref="C22:E22" si="0">AVERAGE(C2:C20)</f>
        <v>4</v>
      </c>
      <c r="D22" s="5">
        <f t="shared" si="0"/>
        <v>4.4444444444444446</v>
      </c>
      <c r="E22" s="5">
        <f t="shared" si="0"/>
        <v>4.5555555555555554</v>
      </c>
      <c r="G22" s="6">
        <f>AVERAGE(B22:E22)</f>
        <v>4.25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73310-AF81-4250-AF86-4BA15F61A16A}">
  <dimension ref="A1:S16"/>
  <sheetViews>
    <sheetView zoomScale="62" workbookViewId="0">
      <selection activeCell="S3" sqref="S3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3</v>
      </c>
      <c r="C2">
        <v>4</v>
      </c>
      <c r="D2">
        <v>4</v>
      </c>
      <c r="E2">
        <v>4</v>
      </c>
      <c r="M2" s="1" t="s">
        <v>7</v>
      </c>
      <c r="N2" s="2"/>
      <c r="O2" s="2"/>
      <c r="P2" s="2"/>
      <c r="Q2" s="2"/>
      <c r="S2" s="4">
        <v>0</v>
      </c>
    </row>
    <row r="3" spans="1:19" x14ac:dyDescent="0.3">
      <c r="A3" s="1" t="s">
        <v>8</v>
      </c>
      <c r="B3">
        <v>5</v>
      </c>
      <c r="C3">
        <v>4</v>
      </c>
      <c r="D3">
        <v>4</v>
      </c>
      <c r="E3">
        <v>4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4</v>
      </c>
      <c r="C4">
        <v>5</v>
      </c>
      <c r="E4">
        <v>5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4</v>
      </c>
      <c r="C5">
        <v>5</v>
      </c>
      <c r="E5">
        <v>6</v>
      </c>
      <c r="M5" s="1" t="s">
        <v>11</v>
      </c>
      <c r="N5" s="2"/>
      <c r="O5" s="2"/>
      <c r="P5" s="2"/>
      <c r="Q5" s="2"/>
    </row>
    <row r="6" spans="1:19" x14ac:dyDescent="0.3">
      <c r="A6" s="1"/>
      <c r="B6">
        <v>4</v>
      </c>
      <c r="E6">
        <v>5</v>
      </c>
      <c r="M6" s="1" t="s">
        <v>12</v>
      </c>
      <c r="N6" s="2"/>
      <c r="O6" s="2"/>
      <c r="P6" s="2"/>
      <c r="Q6" s="2"/>
    </row>
    <row r="7" spans="1:19" x14ac:dyDescent="0.3">
      <c r="A7" s="1"/>
      <c r="B7">
        <v>5</v>
      </c>
      <c r="E7">
        <v>4</v>
      </c>
    </row>
    <row r="8" spans="1:19" x14ac:dyDescent="0.3">
      <c r="A8" s="1"/>
      <c r="B8">
        <v>4</v>
      </c>
      <c r="E8">
        <v>4</v>
      </c>
      <c r="M8" s="1" t="s">
        <v>13</v>
      </c>
      <c r="N8" s="2">
        <v>1</v>
      </c>
      <c r="O8" s="2"/>
      <c r="P8" s="2"/>
      <c r="Q8" s="2"/>
      <c r="S8" t="s">
        <v>14</v>
      </c>
    </row>
    <row r="9" spans="1:19" x14ac:dyDescent="0.3">
      <c r="A9" s="1"/>
      <c r="B9">
        <v>4</v>
      </c>
      <c r="E9">
        <v>4</v>
      </c>
      <c r="M9" s="1" t="s">
        <v>15</v>
      </c>
      <c r="N9" s="2"/>
      <c r="O9" s="2"/>
      <c r="P9" s="2"/>
      <c r="Q9" s="2"/>
      <c r="S9" s="4">
        <f>SUM(N8:Q13)</f>
        <v>25</v>
      </c>
    </row>
    <row r="10" spans="1:19" x14ac:dyDescent="0.3">
      <c r="A10" s="1"/>
      <c r="B10">
        <v>4</v>
      </c>
      <c r="E10">
        <v>4</v>
      </c>
      <c r="M10" s="1" t="s">
        <v>16</v>
      </c>
      <c r="N10" s="2"/>
      <c r="O10" s="2"/>
      <c r="P10" s="2"/>
      <c r="Q10" s="2"/>
    </row>
    <row r="11" spans="1:19" x14ac:dyDescent="0.3">
      <c r="A11" s="1"/>
      <c r="E11">
        <v>4</v>
      </c>
      <c r="M11" s="1" t="s">
        <v>17</v>
      </c>
      <c r="N11" s="2"/>
      <c r="O11" s="2"/>
      <c r="P11" s="2"/>
      <c r="Q11" s="2"/>
    </row>
    <row r="12" spans="1:19" x14ac:dyDescent="0.3">
      <c r="A12" s="1"/>
      <c r="E12">
        <v>4</v>
      </c>
      <c r="M12" s="1" t="s">
        <v>18</v>
      </c>
      <c r="N12" s="2"/>
      <c r="O12" s="2">
        <v>2</v>
      </c>
      <c r="P12" s="2"/>
      <c r="Q12" s="2"/>
    </row>
    <row r="13" spans="1:19" x14ac:dyDescent="0.3">
      <c r="A13" s="1"/>
      <c r="E13">
        <v>4</v>
      </c>
      <c r="M13" s="1" t="s">
        <v>19</v>
      </c>
      <c r="N13" s="2">
        <v>4</v>
      </c>
      <c r="O13" s="2">
        <v>13</v>
      </c>
      <c r="P13" s="2"/>
      <c r="Q13" s="2">
        <v>5</v>
      </c>
    </row>
    <row r="14" spans="1:19" x14ac:dyDescent="0.3">
      <c r="A14" s="1"/>
    </row>
    <row r="15" spans="1:19" x14ac:dyDescent="0.3">
      <c r="B15" s="2"/>
      <c r="C15" s="2"/>
      <c r="D15" s="2"/>
      <c r="E15" s="2"/>
      <c r="G15" t="s">
        <v>20</v>
      </c>
    </row>
    <row r="16" spans="1:19" x14ac:dyDescent="0.3">
      <c r="B16" s="5">
        <f>AVERAGE(B2:B14)</f>
        <v>4.1111111111111107</v>
      </c>
      <c r="C16" s="5">
        <f t="shared" ref="C16:E16" si="0">AVERAGE(C2:C14)</f>
        <v>4.5</v>
      </c>
      <c r="D16" s="5">
        <f t="shared" si="0"/>
        <v>4</v>
      </c>
      <c r="E16" s="5">
        <f t="shared" si="0"/>
        <v>4.333333333333333</v>
      </c>
      <c r="G16" s="6">
        <f>AVERAGE(B16:E16)</f>
        <v>4.2361111111111107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74D16-0EF9-40FB-8D4C-C08AF82C34F7}">
  <dimension ref="A1:S15"/>
  <sheetViews>
    <sheetView zoomScale="61" workbookViewId="0">
      <selection activeCell="S3" sqref="S3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3</v>
      </c>
      <c r="C2">
        <v>4</v>
      </c>
      <c r="D2">
        <v>4</v>
      </c>
      <c r="E2">
        <v>4</v>
      </c>
      <c r="M2" s="1" t="s">
        <v>7</v>
      </c>
      <c r="N2" s="2"/>
      <c r="O2" s="2"/>
      <c r="P2" s="2"/>
      <c r="Q2" s="2"/>
      <c r="S2" s="4">
        <v>0</v>
      </c>
    </row>
    <row r="3" spans="1:19" x14ac:dyDescent="0.3">
      <c r="A3" s="1" t="s">
        <v>8</v>
      </c>
      <c r="B3">
        <v>4</v>
      </c>
      <c r="C3">
        <v>4</v>
      </c>
      <c r="D3">
        <v>3</v>
      </c>
      <c r="E3">
        <v>4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5</v>
      </c>
      <c r="C4">
        <v>4</v>
      </c>
      <c r="D4">
        <v>4</v>
      </c>
      <c r="E4">
        <v>4</v>
      </c>
      <c r="M4" s="1" t="s">
        <v>10</v>
      </c>
      <c r="N4" s="2"/>
      <c r="O4" s="2"/>
      <c r="P4" s="2"/>
      <c r="Q4" s="2"/>
    </row>
    <row r="5" spans="1:19" x14ac:dyDescent="0.3">
      <c r="A5" s="1"/>
      <c r="C5">
        <v>4</v>
      </c>
      <c r="D5">
        <v>4</v>
      </c>
      <c r="E5">
        <v>4</v>
      </c>
      <c r="M5" s="1" t="s">
        <v>11</v>
      </c>
      <c r="N5" s="2"/>
      <c r="O5" s="2"/>
      <c r="P5" s="2"/>
      <c r="Q5" s="2"/>
    </row>
    <row r="6" spans="1:19" x14ac:dyDescent="0.3">
      <c r="A6" s="1"/>
      <c r="C6">
        <v>4</v>
      </c>
      <c r="D6">
        <v>4</v>
      </c>
      <c r="E6">
        <v>4</v>
      </c>
      <c r="M6" s="1" t="s">
        <v>12</v>
      </c>
      <c r="N6" s="2"/>
      <c r="O6" s="2"/>
      <c r="P6" s="2"/>
      <c r="Q6" s="2"/>
    </row>
    <row r="7" spans="1:19" x14ac:dyDescent="0.3">
      <c r="A7" s="1"/>
      <c r="C7">
        <v>4</v>
      </c>
      <c r="D7">
        <v>4</v>
      </c>
      <c r="E7">
        <v>4</v>
      </c>
    </row>
    <row r="8" spans="1:19" x14ac:dyDescent="0.3">
      <c r="A8" s="1"/>
      <c r="E8">
        <v>4</v>
      </c>
      <c r="M8" s="1" t="s">
        <v>13</v>
      </c>
      <c r="N8" s="2"/>
      <c r="O8" s="2"/>
      <c r="P8" s="2"/>
      <c r="Q8" s="2"/>
      <c r="S8" t="s">
        <v>14</v>
      </c>
    </row>
    <row r="9" spans="1:19" x14ac:dyDescent="0.3">
      <c r="A9" s="1"/>
      <c r="E9">
        <v>6</v>
      </c>
      <c r="M9" s="1" t="s">
        <v>15</v>
      </c>
      <c r="N9" s="2"/>
      <c r="O9" s="2"/>
      <c r="P9" s="2"/>
      <c r="Q9" s="2"/>
      <c r="S9" s="4">
        <f>SUM(N8:Q13)</f>
        <v>8</v>
      </c>
    </row>
    <row r="10" spans="1:19" x14ac:dyDescent="0.3">
      <c r="A10" s="1"/>
      <c r="E10">
        <v>5</v>
      </c>
      <c r="M10" s="1" t="s">
        <v>16</v>
      </c>
      <c r="N10" s="2"/>
      <c r="O10" s="2"/>
      <c r="P10" s="2"/>
      <c r="Q10" s="2"/>
    </row>
    <row r="11" spans="1:19" x14ac:dyDescent="0.3">
      <c r="A11" s="1"/>
      <c r="M11" s="1" t="s">
        <v>17</v>
      </c>
      <c r="N11" s="2"/>
      <c r="O11" s="2"/>
      <c r="P11" s="2"/>
      <c r="Q11" s="2"/>
    </row>
    <row r="12" spans="1:19" x14ac:dyDescent="0.3">
      <c r="A12" s="1"/>
      <c r="M12" s="1" t="s">
        <v>18</v>
      </c>
      <c r="N12" s="2"/>
      <c r="O12" s="2"/>
      <c r="P12" s="2"/>
      <c r="Q12" s="2"/>
    </row>
    <row r="13" spans="1:19" x14ac:dyDescent="0.3">
      <c r="A13" s="1"/>
      <c r="M13" s="1" t="s">
        <v>19</v>
      </c>
      <c r="N13" s="2">
        <v>2</v>
      </c>
      <c r="O13" s="2">
        <v>1</v>
      </c>
      <c r="P13" s="2"/>
      <c r="Q13" s="2">
        <v>5</v>
      </c>
    </row>
    <row r="14" spans="1:19" x14ac:dyDescent="0.3">
      <c r="A14" s="1"/>
      <c r="B14" s="2"/>
      <c r="C14" s="2"/>
      <c r="D14" s="2"/>
      <c r="E14" s="2"/>
      <c r="G14" t="s">
        <v>20</v>
      </c>
    </row>
    <row r="15" spans="1:19" x14ac:dyDescent="0.3">
      <c r="B15" s="5">
        <f>AVERAGE(B2:B13)</f>
        <v>4</v>
      </c>
      <c r="C15" s="5">
        <f t="shared" ref="C15:E15" si="0">AVERAGE(C2:C13)</f>
        <v>4</v>
      </c>
      <c r="D15" s="5">
        <f t="shared" si="0"/>
        <v>3.8333333333333335</v>
      </c>
      <c r="E15" s="5">
        <f t="shared" si="0"/>
        <v>4.333333333333333</v>
      </c>
      <c r="G15" s="6">
        <f>AVERAGE(B15:E15)</f>
        <v>4.041666666666667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FCC9-B220-4156-AD87-85DD96CF9022}">
  <dimension ref="A1:S28"/>
  <sheetViews>
    <sheetView zoomScale="58" workbookViewId="0">
      <selection activeCell="G28" sqref="G28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D2">
        <v>3</v>
      </c>
      <c r="E2">
        <v>4</v>
      </c>
      <c r="M2" s="1" t="s">
        <v>7</v>
      </c>
      <c r="N2" s="2"/>
      <c r="O2" s="2"/>
      <c r="P2" s="2"/>
      <c r="Q2" s="2"/>
      <c r="S2" s="4">
        <v>0</v>
      </c>
    </row>
    <row r="3" spans="1:19" x14ac:dyDescent="0.3">
      <c r="A3" s="1" t="s">
        <v>8</v>
      </c>
      <c r="D3">
        <v>3</v>
      </c>
      <c r="E3">
        <v>4</v>
      </c>
      <c r="M3" s="1" t="s">
        <v>9</v>
      </c>
      <c r="N3" s="2"/>
      <c r="O3" s="2"/>
      <c r="P3" s="2"/>
      <c r="Q3" s="2"/>
    </row>
    <row r="4" spans="1:19" x14ac:dyDescent="0.3">
      <c r="A4" s="1"/>
      <c r="D4">
        <v>3</v>
      </c>
      <c r="E4">
        <v>4</v>
      </c>
      <c r="M4" s="1" t="s">
        <v>10</v>
      </c>
      <c r="N4" s="2"/>
      <c r="O4" s="2"/>
      <c r="P4" s="2"/>
      <c r="Q4" s="2"/>
    </row>
    <row r="5" spans="1:19" x14ac:dyDescent="0.3">
      <c r="A5" s="1"/>
      <c r="D5">
        <v>1</v>
      </c>
      <c r="E5">
        <v>4</v>
      </c>
      <c r="M5" s="1" t="s">
        <v>11</v>
      </c>
      <c r="N5" s="2"/>
      <c r="O5" s="2"/>
      <c r="P5" s="2"/>
      <c r="Q5" s="2"/>
    </row>
    <row r="6" spans="1:19" x14ac:dyDescent="0.3">
      <c r="A6" s="1"/>
      <c r="D6">
        <v>1</v>
      </c>
      <c r="E6">
        <v>4</v>
      </c>
      <c r="M6" s="1" t="s">
        <v>12</v>
      </c>
      <c r="N6" s="2"/>
      <c r="O6" s="2"/>
      <c r="P6" s="2"/>
      <c r="Q6" s="2"/>
    </row>
    <row r="7" spans="1:19" x14ac:dyDescent="0.3">
      <c r="A7" s="1"/>
      <c r="D7">
        <v>1</v>
      </c>
      <c r="E7">
        <v>4</v>
      </c>
    </row>
    <row r="8" spans="1:19" x14ac:dyDescent="0.3">
      <c r="A8" s="1"/>
      <c r="D8">
        <v>1</v>
      </c>
      <c r="E8">
        <v>4</v>
      </c>
      <c r="M8" s="1" t="s">
        <v>13</v>
      </c>
      <c r="N8" s="2"/>
      <c r="O8" s="2"/>
      <c r="P8" s="2"/>
      <c r="Q8" s="2"/>
      <c r="S8" t="s">
        <v>14</v>
      </c>
    </row>
    <row r="9" spans="1:19" x14ac:dyDescent="0.3">
      <c r="A9" s="1"/>
      <c r="D9">
        <v>1</v>
      </c>
      <c r="E9">
        <v>4</v>
      </c>
      <c r="M9" s="1" t="s">
        <v>15</v>
      </c>
      <c r="N9" s="2"/>
      <c r="O9" s="2"/>
      <c r="P9" s="2"/>
      <c r="Q9" s="2"/>
      <c r="S9" s="4">
        <f>SUM(N8:Q13)</f>
        <v>5</v>
      </c>
    </row>
    <row r="10" spans="1:19" x14ac:dyDescent="0.3">
      <c r="A10" s="1"/>
      <c r="D10">
        <v>1</v>
      </c>
      <c r="E10">
        <v>4</v>
      </c>
      <c r="M10" s="1" t="s">
        <v>16</v>
      </c>
      <c r="N10" s="2"/>
      <c r="O10" s="2"/>
      <c r="P10" s="2"/>
      <c r="Q10" s="2"/>
    </row>
    <row r="11" spans="1:19" x14ac:dyDescent="0.3">
      <c r="A11" s="1"/>
      <c r="D11">
        <v>1</v>
      </c>
      <c r="M11" s="1" t="s">
        <v>17</v>
      </c>
      <c r="N11" s="2"/>
      <c r="O11" s="2"/>
      <c r="P11" s="2"/>
      <c r="Q11" s="2"/>
    </row>
    <row r="12" spans="1:19" x14ac:dyDescent="0.3">
      <c r="A12" s="1"/>
      <c r="D12">
        <v>1</v>
      </c>
      <c r="M12" s="1" t="s">
        <v>18</v>
      </c>
      <c r="N12" s="2"/>
      <c r="O12" s="2"/>
      <c r="P12" s="2"/>
      <c r="Q12" s="2"/>
    </row>
    <row r="13" spans="1:19" x14ac:dyDescent="0.3">
      <c r="A13" s="1"/>
      <c r="D13">
        <v>1</v>
      </c>
      <c r="M13" s="1" t="s">
        <v>19</v>
      </c>
      <c r="N13" s="2"/>
      <c r="O13" s="2"/>
      <c r="P13" s="2">
        <v>4</v>
      </c>
      <c r="Q13" s="2">
        <v>1</v>
      </c>
    </row>
    <row r="14" spans="1:19" x14ac:dyDescent="0.3">
      <c r="A14" s="1"/>
      <c r="D14">
        <v>1</v>
      </c>
    </row>
    <row r="15" spans="1:19" x14ac:dyDescent="0.3">
      <c r="D15">
        <v>1</v>
      </c>
    </row>
    <row r="16" spans="1:19" x14ac:dyDescent="0.3">
      <c r="D16">
        <v>4</v>
      </c>
    </row>
    <row r="17" spans="2:7" x14ac:dyDescent="0.3">
      <c r="D17">
        <v>4</v>
      </c>
    </row>
    <row r="18" spans="2:7" x14ac:dyDescent="0.3">
      <c r="D18">
        <v>6</v>
      </c>
    </row>
    <row r="19" spans="2:7" x14ac:dyDescent="0.3">
      <c r="D19">
        <v>5</v>
      </c>
    </row>
    <row r="20" spans="2:7" x14ac:dyDescent="0.3">
      <c r="D20">
        <v>5</v>
      </c>
    </row>
    <row r="21" spans="2:7" x14ac:dyDescent="0.3">
      <c r="D21">
        <v>6</v>
      </c>
    </row>
    <row r="22" spans="2:7" x14ac:dyDescent="0.3">
      <c r="D22">
        <v>6</v>
      </c>
    </row>
    <row r="23" spans="2:7" x14ac:dyDescent="0.3">
      <c r="D23">
        <v>4</v>
      </c>
    </row>
    <row r="24" spans="2:7" x14ac:dyDescent="0.3">
      <c r="D24">
        <v>4</v>
      </c>
    </row>
    <row r="25" spans="2:7" x14ac:dyDescent="0.3">
      <c r="D25">
        <v>6</v>
      </c>
    </row>
    <row r="27" spans="2:7" x14ac:dyDescent="0.3">
      <c r="B27" s="2"/>
      <c r="C27" s="2"/>
      <c r="D27" s="2"/>
      <c r="E27" s="2"/>
      <c r="G27" t="s">
        <v>20</v>
      </c>
    </row>
    <row r="28" spans="2:7" x14ac:dyDescent="0.3">
      <c r="B28" s="5"/>
      <c r="C28" s="5"/>
      <c r="D28" s="5">
        <f>AVERAGE(D2:D26)</f>
        <v>2.9166666666666665</v>
      </c>
      <c r="E28" s="5">
        <f>AVERAGE(E2:E26)</f>
        <v>4</v>
      </c>
      <c r="G28" s="6">
        <f>AVERAGE(B28:E28)</f>
        <v>3.458333333333333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4812-D91C-4AF6-81EC-7B5A18D4CC9F}">
  <dimension ref="A1:S24"/>
  <sheetViews>
    <sheetView zoomScale="63" workbookViewId="0">
      <selection activeCell="S10" sqref="S10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4</v>
      </c>
      <c r="C2">
        <v>4</v>
      </c>
      <c r="D2">
        <v>3</v>
      </c>
      <c r="E2">
        <v>4</v>
      </c>
      <c r="M2" s="1" t="s">
        <v>7</v>
      </c>
      <c r="N2" s="2">
        <v>2</v>
      </c>
      <c r="O2" s="2"/>
      <c r="P2" s="2"/>
      <c r="Q2" s="2"/>
      <c r="S2" s="4">
        <f>SUM(N1:Q6)</f>
        <v>2</v>
      </c>
    </row>
    <row r="3" spans="1:19" x14ac:dyDescent="0.3">
      <c r="A3" s="1" t="s">
        <v>8</v>
      </c>
      <c r="B3">
        <v>4</v>
      </c>
      <c r="C3">
        <v>4</v>
      </c>
      <c r="D3">
        <v>6</v>
      </c>
      <c r="E3">
        <v>4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4</v>
      </c>
      <c r="C4">
        <v>3</v>
      </c>
      <c r="D4">
        <v>4</v>
      </c>
      <c r="E4">
        <v>4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4</v>
      </c>
      <c r="C5">
        <v>4</v>
      </c>
      <c r="D5">
        <v>4</v>
      </c>
      <c r="E5">
        <v>5</v>
      </c>
      <c r="M5" s="1" t="s">
        <v>11</v>
      </c>
      <c r="N5" s="2"/>
      <c r="O5" s="2"/>
      <c r="P5" s="2"/>
      <c r="Q5" s="2"/>
    </row>
    <row r="6" spans="1:19" x14ac:dyDescent="0.3">
      <c r="A6" s="1"/>
      <c r="B6">
        <v>4</v>
      </c>
      <c r="C6">
        <v>4</v>
      </c>
      <c r="D6">
        <v>4</v>
      </c>
      <c r="E6">
        <v>4</v>
      </c>
      <c r="M6" s="1" t="s">
        <v>12</v>
      </c>
      <c r="N6" s="2"/>
      <c r="O6" s="2"/>
      <c r="P6" s="2"/>
      <c r="Q6" s="2"/>
    </row>
    <row r="7" spans="1:19" x14ac:dyDescent="0.3">
      <c r="A7" s="1"/>
      <c r="B7">
        <v>4</v>
      </c>
      <c r="C7">
        <v>4</v>
      </c>
      <c r="D7">
        <v>4</v>
      </c>
      <c r="E7">
        <v>6</v>
      </c>
    </row>
    <row r="8" spans="1:19" x14ac:dyDescent="0.3">
      <c r="A8" s="1"/>
      <c r="B8">
        <v>4</v>
      </c>
      <c r="C8">
        <v>4</v>
      </c>
      <c r="D8">
        <v>4</v>
      </c>
      <c r="E8">
        <v>6</v>
      </c>
      <c r="M8" s="1" t="s">
        <v>13</v>
      </c>
      <c r="N8" s="2"/>
      <c r="O8" s="2"/>
      <c r="P8" s="2"/>
      <c r="Q8" s="2"/>
      <c r="S8" t="s">
        <v>14</v>
      </c>
    </row>
    <row r="9" spans="1:19" x14ac:dyDescent="0.3">
      <c r="A9" s="1"/>
      <c r="B9">
        <v>4</v>
      </c>
      <c r="C9">
        <v>4</v>
      </c>
      <c r="E9">
        <v>5</v>
      </c>
      <c r="M9" s="1" t="s">
        <v>15</v>
      </c>
      <c r="N9" s="2"/>
      <c r="O9" s="2"/>
      <c r="P9" s="2"/>
      <c r="Q9" s="2"/>
      <c r="S9" s="4">
        <f>SUM(N8:Q13)</f>
        <v>35</v>
      </c>
    </row>
    <row r="10" spans="1:19" x14ac:dyDescent="0.3">
      <c r="A10" s="1"/>
      <c r="B10">
        <v>4</v>
      </c>
      <c r="C10">
        <v>4</v>
      </c>
      <c r="E10">
        <v>4</v>
      </c>
      <c r="M10" s="1" t="s">
        <v>16</v>
      </c>
      <c r="N10" s="2"/>
      <c r="O10" s="2"/>
      <c r="P10" s="2"/>
      <c r="Q10" s="2"/>
    </row>
    <row r="11" spans="1:19" x14ac:dyDescent="0.3">
      <c r="A11" s="1"/>
      <c r="C11">
        <v>4</v>
      </c>
      <c r="E11">
        <v>5</v>
      </c>
      <c r="M11" s="1" t="s">
        <v>17</v>
      </c>
      <c r="N11" s="2">
        <v>5</v>
      </c>
      <c r="O11" s="2">
        <v>3</v>
      </c>
      <c r="P11" s="2">
        <v>1</v>
      </c>
      <c r="Q11" s="2"/>
    </row>
    <row r="12" spans="1:19" x14ac:dyDescent="0.3">
      <c r="A12" s="1"/>
      <c r="C12">
        <v>4</v>
      </c>
      <c r="E12">
        <v>5</v>
      </c>
      <c r="M12" s="1" t="s">
        <v>18</v>
      </c>
      <c r="N12" s="2"/>
      <c r="O12" s="2"/>
      <c r="P12" s="2"/>
      <c r="Q12" s="2"/>
    </row>
    <row r="13" spans="1:19" x14ac:dyDescent="0.3">
      <c r="A13" s="1"/>
      <c r="C13">
        <v>4</v>
      </c>
      <c r="E13">
        <v>5</v>
      </c>
      <c r="M13" s="1" t="s">
        <v>19</v>
      </c>
      <c r="N13" s="2">
        <v>7</v>
      </c>
      <c r="O13" s="2">
        <v>9</v>
      </c>
      <c r="P13" s="2">
        <v>4</v>
      </c>
      <c r="Q13" s="2">
        <v>6</v>
      </c>
    </row>
    <row r="14" spans="1:19" x14ac:dyDescent="0.3">
      <c r="A14" s="1"/>
      <c r="C14">
        <v>4</v>
      </c>
      <c r="E14">
        <v>3</v>
      </c>
    </row>
    <row r="15" spans="1:19" x14ac:dyDescent="0.3">
      <c r="C15">
        <v>4</v>
      </c>
      <c r="E15">
        <v>4</v>
      </c>
    </row>
    <row r="16" spans="1:19" x14ac:dyDescent="0.3">
      <c r="C16">
        <v>3</v>
      </c>
      <c r="E16">
        <v>4</v>
      </c>
    </row>
    <row r="17" spans="2:7" x14ac:dyDescent="0.3">
      <c r="C17">
        <v>3</v>
      </c>
      <c r="E17">
        <v>4</v>
      </c>
    </row>
    <row r="18" spans="2:7" x14ac:dyDescent="0.3">
      <c r="C18">
        <v>3</v>
      </c>
      <c r="E18">
        <v>4</v>
      </c>
    </row>
    <row r="19" spans="2:7" x14ac:dyDescent="0.3">
      <c r="C19">
        <v>3</v>
      </c>
      <c r="E19">
        <v>4</v>
      </c>
    </row>
    <row r="20" spans="2:7" x14ac:dyDescent="0.3">
      <c r="C20">
        <v>3</v>
      </c>
      <c r="E20">
        <v>4</v>
      </c>
    </row>
    <row r="21" spans="2:7" x14ac:dyDescent="0.3">
      <c r="E21">
        <v>4</v>
      </c>
    </row>
    <row r="23" spans="2:7" x14ac:dyDescent="0.3">
      <c r="B23" s="2"/>
      <c r="C23" s="2"/>
      <c r="D23" s="2"/>
      <c r="E23" s="2"/>
      <c r="G23" t="s">
        <v>20</v>
      </c>
    </row>
    <row r="24" spans="2:7" x14ac:dyDescent="0.3">
      <c r="B24" s="5">
        <f>AVERAGE(B2:B22)</f>
        <v>4</v>
      </c>
      <c r="C24" s="5">
        <f t="shared" ref="C24:E24" si="0">AVERAGE(C2:C22)</f>
        <v>3.6842105263157894</v>
      </c>
      <c r="D24" s="5">
        <f t="shared" si="0"/>
        <v>4.1428571428571432</v>
      </c>
      <c r="E24" s="5">
        <f t="shared" si="0"/>
        <v>4.4000000000000004</v>
      </c>
      <c r="G24" s="6">
        <f>AVERAGE(B24:E24)</f>
        <v>4.056766917293233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1FCE7-6584-4D33-8E62-2FE4EBEE8875}">
  <dimension ref="A1:S38"/>
  <sheetViews>
    <sheetView zoomScale="63" workbookViewId="0">
      <selection activeCell="S3" sqref="S3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4</v>
      </c>
      <c r="C2">
        <v>4</v>
      </c>
      <c r="D2">
        <v>1</v>
      </c>
      <c r="E2">
        <v>5</v>
      </c>
      <c r="M2" s="1" t="s">
        <v>7</v>
      </c>
      <c r="N2" s="2"/>
      <c r="O2" s="2">
        <v>1</v>
      </c>
      <c r="P2" s="2">
        <v>2</v>
      </c>
      <c r="Q2" s="2">
        <v>1</v>
      </c>
      <c r="S2" s="4">
        <f>SUM(N1:Q6)</f>
        <v>4</v>
      </c>
    </row>
    <row r="3" spans="1:19" x14ac:dyDescent="0.3">
      <c r="A3" s="1" t="s">
        <v>8</v>
      </c>
      <c r="B3">
        <v>4</v>
      </c>
      <c r="C3">
        <v>4</v>
      </c>
      <c r="D3">
        <v>4</v>
      </c>
      <c r="E3">
        <v>4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3</v>
      </c>
      <c r="C4">
        <v>4</v>
      </c>
      <c r="D4">
        <v>4</v>
      </c>
      <c r="E4">
        <v>4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4</v>
      </c>
      <c r="C5">
        <v>4</v>
      </c>
      <c r="D5">
        <v>4</v>
      </c>
      <c r="E5">
        <v>4</v>
      </c>
      <c r="M5" s="1" t="s">
        <v>11</v>
      </c>
      <c r="N5" s="2"/>
      <c r="O5" s="2"/>
      <c r="P5" s="2"/>
      <c r="Q5" s="2"/>
    </row>
    <row r="6" spans="1:19" x14ac:dyDescent="0.3">
      <c r="A6" s="1"/>
      <c r="B6">
        <v>4</v>
      </c>
      <c r="C6">
        <v>4</v>
      </c>
      <c r="D6">
        <v>4</v>
      </c>
      <c r="E6">
        <v>4</v>
      </c>
      <c r="M6" s="1" t="s">
        <v>12</v>
      </c>
      <c r="N6" s="2"/>
      <c r="O6" s="2"/>
      <c r="P6" s="2"/>
      <c r="Q6" s="2"/>
    </row>
    <row r="7" spans="1:19" x14ac:dyDescent="0.3">
      <c r="A7" s="1"/>
      <c r="B7">
        <v>4</v>
      </c>
      <c r="C7">
        <v>4</v>
      </c>
      <c r="D7">
        <v>4</v>
      </c>
      <c r="E7">
        <v>4</v>
      </c>
    </row>
    <row r="8" spans="1:19" x14ac:dyDescent="0.3">
      <c r="A8" s="1"/>
      <c r="B8">
        <v>4</v>
      </c>
      <c r="C8">
        <v>4</v>
      </c>
      <c r="D8">
        <v>1</v>
      </c>
      <c r="E8">
        <v>4</v>
      </c>
      <c r="M8" s="1" t="s">
        <v>13</v>
      </c>
      <c r="N8" s="2">
        <v>4</v>
      </c>
      <c r="O8" s="2"/>
      <c r="P8" s="2"/>
      <c r="Q8" s="2"/>
      <c r="S8" t="s">
        <v>14</v>
      </c>
    </row>
    <row r="9" spans="1:19" x14ac:dyDescent="0.3">
      <c r="A9" s="1"/>
      <c r="B9">
        <v>4</v>
      </c>
      <c r="C9">
        <v>4</v>
      </c>
      <c r="D9">
        <v>4</v>
      </c>
      <c r="E9">
        <v>5</v>
      </c>
      <c r="M9" s="1" t="s">
        <v>15</v>
      </c>
      <c r="N9" s="2"/>
      <c r="O9" s="2"/>
      <c r="P9" s="2"/>
      <c r="Q9" s="2"/>
      <c r="S9" s="4">
        <f>SUM(N8:Q13)</f>
        <v>37</v>
      </c>
    </row>
    <row r="10" spans="1:19" x14ac:dyDescent="0.3">
      <c r="A10" s="1"/>
      <c r="B10">
        <v>4</v>
      </c>
      <c r="C10">
        <v>4</v>
      </c>
      <c r="D10">
        <v>4</v>
      </c>
      <c r="E10">
        <v>6</v>
      </c>
      <c r="M10" s="1" t="s">
        <v>16</v>
      </c>
      <c r="N10" s="2"/>
      <c r="O10" s="2"/>
      <c r="P10" s="2"/>
      <c r="Q10" s="2"/>
    </row>
    <row r="11" spans="1:19" x14ac:dyDescent="0.3">
      <c r="A11" s="1"/>
      <c r="B11">
        <v>4</v>
      </c>
      <c r="C11">
        <v>4</v>
      </c>
      <c r="D11">
        <v>5</v>
      </c>
      <c r="E11">
        <v>4</v>
      </c>
      <c r="M11" s="1" t="s">
        <v>17</v>
      </c>
      <c r="N11" s="2"/>
      <c r="O11" s="2">
        <v>1</v>
      </c>
      <c r="P11" s="2"/>
      <c r="Q11" s="2">
        <v>3</v>
      </c>
    </row>
    <row r="12" spans="1:19" x14ac:dyDescent="0.3">
      <c r="A12" s="1"/>
      <c r="B12">
        <v>4</v>
      </c>
      <c r="C12">
        <v>4</v>
      </c>
      <c r="E12">
        <v>3</v>
      </c>
      <c r="M12" s="1" t="s">
        <v>18</v>
      </c>
      <c r="N12" s="2"/>
      <c r="O12" s="2"/>
      <c r="P12" s="2"/>
      <c r="Q12" s="2"/>
    </row>
    <row r="13" spans="1:19" x14ac:dyDescent="0.3">
      <c r="A13" s="1"/>
      <c r="B13">
        <v>6</v>
      </c>
      <c r="C13">
        <v>4</v>
      </c>
      <c r="E13">
        <v>3</v>
      </c>
      <c r="M13" s="1" t="s">
        <v>19</v>
      </c>
      <c r="N13" s="2">
        <v>5</v>
      </c>
      <c r="O13" s="2">
        <v>14</v>
      </c>
      <c r="P13" s="2">
        <v>4</v>
      </c>
      <c r="Q13" s="2">
        <v>6</v>
      </c>
    </row>
    <row r="14" spans="1:19" x14ac:dyDescent="0.3">
      <c r="A14" s="1"/>
      <c r="B14">
        <v>4</v>
      </c>
      <c r="C14">
        <v>4</v>
      </c>
      <c r="E14">
        <v>5</v>
      </c>
    </row>
    <row r="15" spans="1:19" x14ac:dyDescent="0.3">
      <c r="B15">
        <v>4</v>
      </c>
      <c r="C15">
        <v>4</v>
      </c>
    </row>
    <row r="16" spans="1:19" x14ac:dyDescent="0.3">
      <c r="B16">
        <v>4</v>
      </c>
      <c r="C16">
        <v>4</v>
      </c>
    </row>
    <row r="17" spans="2:3" x14ac:dyDescent="0.3">
      <c r="B17">
        <v>3</v>
      </c>
      <c r="C17">
        <v>4</v>
      </c>
    </row>
    <row r="18" spans="2:3" x14ac:dyDescent="0.3">
      <c r="B18">
        <v>3</v>
      </c>
      <c r="C18">
        <v>4</v>
      </c>
    </row>
    <row r="19" spans="2:3" x14ac:dyDescent="0.3">
      <c r="B19">
        <v>4</v>
      </c>
      <c r="C19">
        <v>4</v>
      </c>
    </row>
    <row r="20" spans="2:3" x14ac:dyDescent="0.3">
      <c r="B20">
        <v>5</v>
      </c>
      <c r="C20">
        <v>4</v>
      </c>
    </row>
    <row r="21" spans="2:3" x14ac:dyDescent="0.3">
      <c r="B21">
        <v>4</v>
      </c>
      <c r="C21">
        <v>3</v>
      </c>
    </row>
    <row r="22" spans="2:3" x14ac:dyDescent="0.3">
      <c r="B22">
        <v>4</v>
      </c>
      <c r="C22">
        <v>3</v>
      </c>
    </row>
    <row r="23" spans="2:3" x14ac:dyDescent="0.3">
      <c r="C23">
        <v>4</v>
      </c>
    </row>
    <row r="24" spans="2:3" x14ac:dyDescent="0.3">
      <c r="C24">
        <v>4</v>
      </c>
    </row>
    <row r="25" spans="2:3" x14ac:dyDescent="0.3">
      <c r="C25">
        <v>4</v>
      </c>
    </row>
    <row r="26" spans="2:3" x14ac:dyDescent="0.3">
      <c r="C26">
        <v>4</v>
      </c>
    </row>
    <row r="27" spans="2:3" x14ac:dyDescent="0.3">
      <c r="C27">
        <v>4</v>
      </c>
    </row>
    <row r="28" spans="2:3" x14ac:dyDescent="0.3">
      <c r="C28">
        <v>4</v>
      </c>
    </row>
    <row r="29" spans="2:3" x14ac:dyDescent="0.3">
      <c r="C29">
        <v>4</v>
      </c>
    </row>
    <row r="30" spans="2:3" x14ac:dyDescent="0.3">
      <c r="C30">
        <v>4</v>
      </c>
    </row>
    <row r="31" spans="2:3" x14ac:dyDescent="0.3">
      <c r="C31">
        <v>4</v>
      </c>
    </row>
    <row r="32" spans="2:3" x14ac:dyDescent="0.3">
      <c r="C32">
        <v>4</v>
      </c>
    </row>
    <row r="33" spans="2:7" x14ac:dyDescent="0.3">
      <c r="C33">
        <v>4</v>
      </c>
    </row>
    <row r="34" spans="2:7" x14ac:dyDescent="0.3">
      <c r="C34">
        <v>4</v>
      </c>
    </row>
    <row r="35" spans="2:7" x14ac:dyDescent="0.3">
      <c r="C35">
        <v>4</v>
      </c>
    </row>
    <row r="37" spans="2:7" x14ac:dyDescent="0.3">
      <c r="B37" s="2"/>
      <c r="C37" s="2"/>
      <c r="D37" s="2"/>
      <c r="E37" s="2"/>
      <c r="G37" t="s">
        <v>20</v>
      </c>
    </row>
    <row r="38" spans="2:7" x14ac:dyDescent="0.3">
      <c r="B38" s="5">
        <f>AVERAGE(B2:B36)</f>
        <v>4</v>
      </c>
      <c r="C38" s="5">
        <f t="shared" ref="C38:E38" si="0">AVERAGE(C2:C36)</f>
        <v>3.9411764705882355</v>
      </c>
      <c r="D38" s="5">
        <f t="shared" si="0"/>
        <v>3.5</v>
      </c>
      <c r="E38" s="5">
        <f t="shared" si="0"/>
        <v>4.2307692307692308</v>
      </c>
      <c r="G38" s="6">
        <f>AVERAGE(B38:E38)</f>
        <v>3.9179864253393664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7590-C2DA-4968-BA15-5AAAA92935A6}">
  <dimension ref="A1:S24"/>
  <sheetViews>
    <sheetView zoomScale="53" workbookViewId="0">
      <selection activeCell="S3" sqref="S3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4</v>
      </c>
      <c r="C2">
        <v>4</v>
      </c>
      <c r="D2">
        <v>3</v>
      </c>
      <c r="E2">
        <v>4</v>
      </c>
      <c r="M2" s="1" t="s">
        <v>7</v>
      </c>
      <c r="N2" s="2">
        <v>1</v>
      </c>
      <c r="O2" s="2"/>
      <c r="P2" s="2">
        <v>1</v>
      </c>
      <c r="Q2" s="2">
        <v>1</v>
      </c>
      <c r="S2" s="4">
        <f>SUM(N1:Q6)</f>
        <v>3</v>
      </c>
    </row>
    <row r="3" spans="1:19" x14ac:dyDescent="0.3">
      <c r="A3" s="1" t="s">
        <v>8</v>
      </c>
      <c r="B3">
        <v>4</v>
      </c>
      <c r="C3">
        <v>4</v>
      </c>
      <c r="D3">
        <v>3</v>
      </c>
      <c r="E3">
        <v>4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1</v>
      </c>
      <c r="C4">
        <v>5</v>
      </c>
      <c r="D4">
        <v>3</v>
      </c>
      <c r="E4">
        <v>3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1</v>
      </c>
      <c r="C5">
        <v>5</v>
      </c>
      <c r="D5">
        <v>3</v>
      </c>
      <c r="E5">
        <v>3</v>
      </c>
      <c r="M5" s="1" t="s">
        <v>11</v>
      </c>
      <c r="N5" s="2"/>
      <c r="O5" s="2"/>
      <c r="P5" s="2"/>
      <c r="Q5" s="2"/>
    </row>
    <row r="6" spans="1:19" x14ac:dyDescent="0.3">
      <c r="A6" s="1"/>
      <c r="B6">
        <v>4</v>
      </c>
      <c r="C6">
        <v>4</v>
      </c>
      <c r="D6">
        <v>3</v>
      </c>
      <c r="E6">
        <v>3</v>
      </c>
      <c r="M6" s="1" t="s">
        <v>12</v>
      </c>
      <c r="N6" s="2"/>
      <c r="O6" s="2"/>
      <c r="P6" s="2"/>
      <c r="Q6" s="2"/>
    </row>
    <row r="7" spans="1:19" x14ac:dyDescent="0.3">
      <c r="A7" s="1"/>
      <c r="B7">
        <v>4</v>
      </c>
      <c r="C7">
        <v>4</v>
      </c>
      <c r="D7">
        <v>3</v>
      </c>
      <c r="E7">
        <v>4</v>
      </c>
    </row>
    <row r="8" spans="1:19" x14ac:dyDescent="0.3">
      <c r="A8" s="1"/>
      <c r="B8">
        <v>4</v>
      </c>
      <c r="C8">
        <v>4</v>
      </c>
      <c r="D8">
        <v>4</v>
      </c>
      <c r="E8">
        <v>4</v>
      </c>
      <c r="M8" s="1" t="s">
        <v>13</v>
      </c>
      <c r="N8" s="2"/>
      <c r="O8" s="2">
        <v>7</v>
      </c>
      <c r="P8" s="2"/>
      <c r="Q8" s="2"/>
      <c r="S8" t="s">
        <v>14</v>
      </c>
    </row>
    <row r="9" spans="1:19" x14ac:dyDescent="0.3">
      <c r="A9" s="1"/>
      <c r="B9">
        <v>4</v>
      </c>
      <c r="C9">
        <v>4</v>
      </c>
      <c r="D9">
        <v>4</v>
      </c>
      <c r="E9">
        <v>4</v>
      </c>
      <c r="M9" s="1" t="s">
        <v>15</v>
      </c>
      <c r="N9" s="2"/>
      <c r="O9" s="2"/>
      <c r="P9" s="2"/>
      <c r="Q9" s="2"/>
      <c r="S9" s="4">
        <f>SUM(N8:Q13)</f>
        <v>33</v>
      </c>
    </row>
    <row r="10" spans="1:19" x14ac:dyDescent="0.3">
      <c r="A10" s="1"/>
      <c r="B10">
        <v>4</v>
      </c>
      <c r="C10">
        <v>4</v>
      </c>
      <c r="D10">
        <v>4</v>
      </c>
      <c r="E10">
        <v>3</v>
      </c>
      <c r="M10" s="1" t="s">
        <v>16</v>
      </c>
      <c r="N10" s="2"/>
      <c r="O10" s="2"/>
      <c r="P10" s="2"/>
      <c r="Q10" s="2"/>
    </row>
    <row r="11" spans="1:19" x14ac:dyDescent="0.3">
      <c r="A11" s="1"/>
      <c r="C11">
        <v>4</v>
      </c>
      <c r="D11">
        <v>4</v>
      </c>
      <c r="E11">
        <v>4</v>
      </c>
      <c r="M11" s="1" t="s">
        <v>17</v>
      </c>
      <c r="N11" s="2"/>
      <c r="O11" s="2">
        <v>2</v>
      </c>
      <c r="P11" s="2"/>
      <c r="Q11" s="2"/>
    </row>
    <row r="12" spans="1:19" x14ac:dyDescent="0.3">
      <c r="A12" s="1"/>
      <c r="C12">
        <v>4</v>
      </c>
      <c r="D12">
        <v>5</v>
      </c>
      <c r="E12">
        <v>4</v>
      </c>
      <c r="M12" s="1" t="s">
        <v>18</v>
      </c>
      <c r="N12" s="2">
        <v>1</v>
      </c>
      <c r="O12" s="2"/>
      <c r="P12" s="2"/>
      <c r="Q12" s="2"/>
    </row>
    <row r="13" spans="1:19" x14ac:dyDescent="0.3">
      <c r="A13" s="1"/>
      <c r="C13">
        <v>4</v>
      </c>
      <c r="D13">
        <v>3</v>
      </c>
      <c r="E13">
        <v>4</v>
      </c>
      <c r="M13" s="1" t="s">
        <v>19</v>
      </c>
      <c r="N13" s="2">
        <v>9</v>
      </c>
      <c r="O13" s="2">
        <v>8</v>
      </c>
      <c r="P13" s="2">
        <v>2</v>
      </c>
      <c r="Q13" s="2">
        <v>4</v>
      </c>
    </row>
    <row r="14" spans="1:19" x14ac:dyDescent="0.3">
      <c r="A14" s="1"/>
      <c r="C14">
        <v>4</v>
      </c>
      <c r="D14">
        <v>3</v>
      </c>
      <c r="E14">
        <v>4</v>
      </c>
    </row>
    <row r="15" spans="1:19" x14ac:dyDescent="0.3">
      <c r="C15">
        <v>4</v>
      </c>
      <c r="D15">
        <v>3</v>
      </c>
      <c r="E15">
        <v>3</v>
      </c>
    </row>
    <row r="16" spans="1:19" x14ac:dyDescent="0.3">
      <c r="C16">
        <v>4</v>
      </c>
      <c r="D16">
        <v>3</v>
      </c>
      <c r="E16">
        <v>3</v>
      </c>
    </row>
    <row r="17" spans="2:7" x14ac:dyDescent="0.3">
      <c r="C17">
        <v>4</v>
      </c>
      <c r="D17">
        <v>3</v>
      </c>
      <c r="E17">
        <v>3</v>
      </c>
    </row>
    <row r="18" spans="2:7" x14ac:dyDescent="0.3">
      <c r="C18">
        <v>4</v>
      </c>
      <c r="D18">
        <v>3</v>
      </c>
      <c r="E18">
        <v>3</v>
      </c>
    </row>
    <row r="19" spans="2:7" x14ac:dyDescent="0.3">
      <c r="C19">
        <v>4</v>
      </c>
      <c r="D19">
        <v>2</v>
      </c>
      <c r="E19">
        <v>3</v>
      </c>
    </row>
    <row r="20" spans="2:7" x14ac:dyDescent="0.3">
      <c r="C20">
        <v>3</v>
      </c>
      <c r="D20">
        <v>5</v>
      </c>
    </row>
    <row r="21" spans="2:7" x14ac:dyDescent="0.3">
      <c r="C21">
        <v>3</v>
      </c>
    </row>
    <row r="23" spans="2:7" x14ac:dyDescent="0.3">
      <c r="B23" s="2"/>
      <c r="C23" s="2"/>
      <c r="D23" s="2"/>
      <c r="E23" s="2"/>
      <c r="G23" t="s">
        <v>20</v>
      </c>
    </row>
    <row r="24" spans="2:7" x14ac:dyDescent="0.3">
      <c r="B24" s="5">
        <f>AVERAGE(B2:B22)</f>
        <v>3.3333333333333335</v>
      </c>
      <c r="C24" s="5">
        <f t="shared" ref="C24:E24" si="0">AVERAGE(C2:C22)</f>
        <v>4</v>
      </c>
      <c r="D24" s="5">
        <f t="shared" si="0"/>
        <v>3.3684210526315788</v>
      </c>
      <c r="E24" s="5">
        <f t="shared" si="0"/>
        <v>3.5</v>
      </c>
      <c r="G24" s="6">
        <f>AVERAGE(B24:E24)</f>
        <v>3.5504385964912282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672F-D617-435C-9F4E-D03D91EE8F1A}">
  <dimension ref="A1:S30"/>
  <sheetViews>
    <sheetView zoomScale="62" workbookViewId="0">
      <selection activeCell="S3" sqref="S3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4</v>
      </c>
      <c r="C2">
        <v>4</v>
      </c>
      <c r="D2">
        <v>5</v>
      </c>
      <c r="E2">
        <v>4</v>
      </c>
      <c r="M2" s="1" t="s">
        <v>7</v>
      </c>
      <c r="N2" s="2"/>
      <c r="O2" s="2"/>
      <c r="P2" s="2"/>
      <c r="Q2" s="2">
        <v>1</v>
      </c>
      <c r="S2" s="4">
        <f>SUM(N1:Q6)</f>
        <v>1</v>
      </c>
    </row>
    <row r="3" spans="1:19" x14ac:dyDescent="0.3">
      <c r="A3" s="1" t="s">
        <v>8</v>
      </c>
      <c r="B3">
        <v>3</v>
      </c>
      <c r="C3">
        <v>4</v>
      </c>
      <c r="D3">
        <v>5</v>
      </c>
      <c r="E3">
        <v>3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4</v>
      </c>
      <c r="C4">
        <v>4</v>
      </c>
      <c r="D4">
        <v>4</v>
      </c>
      <c r="E4">
        <v>3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3</v>
      </c>
      <c r="C5">
        <v>4</v>
      </c>
      <c r="D5">
        <v>4</v>
      </c>
      <c r="E5">
        <v>3</v>
      </c>
      <c r="M5" s="1" t="s">
        <v>11</v>
      </c>
      <c r="N5" s="2"/>
      <c r="O5" s="2"/>
      <c r="P5" s="2"/>
      <c r="Q5" s="2"/>
    </row>
    <row r="6" spans="1:19" x14ac:dyDescent="0.3">
      <c r="A6" s="1"/>
      <c r="B6">
        <v>3</v>
      </c>
      <c r="C6">
        <v>4</v>
      </c>
      <c r="D6">
        <v>4</v>
      </c>
      <c r="E6">
        <v>4</v>
      </c>
      <c r="M6" s="1" t="s">
        <v>12</v>
      </c>
      <c r="N6" s="2"/>
      <c r="O6" s="2"/>
      <c r="P6" s="2"/>
      <c r="Q6" s="2"/>
    </row>
    <row r="7" spans="1:19" x14ac:dyDescent="0.3">
      <c r="A7" s="1"/>
      <c r="B7">
        <v>4</v>
      </c>
      <c r="C7">
        <v>4</v>
      </c>
      <c r="D7">
        <v>4</v>
      </c>
      <c r="E7">
        <v>3</v>
      </c>
    </row>
    <row r="8" spans="1:19" x14ac:dyDescent="0.3">
      <c r="A8" s="1"/>
      <c r="B8">
        <v>3</v>
      </c>
      <c r="C8">
        <v>4</v>
      </c>
      <c r="D8">
        <v>3</v>
      </c>
      <c r="E8">
        <v>5</v>
      </c>
      <c r="M8" s="1" t="s">
        <v>13</v>
      </c>
      <c r="N8" s="2"/>
      <c r="O8" s="2">
        <v>1</v>
      </c>
      <c r="P8" s="2">
        <v>3</v>
      </c>
      <c r="Q8" s="2"/>
      <c r="S8" t="s">
        <v>14</v>
      </c>
    </row>
    <row r="9" spans="1:19" x14ac:dyDescent="0.3">
      <c r="A9" s="1"/>
      <c r="B9">
        <v>3</v>
      </c>
      <c r="C9">
        <v>4</v>
      </c>
      <c r="D9">
        <v>2</v>
      </c>
      <c r="M9" s="1" t="s">
        <v>15</v>
      </c>
      <c r="N9" s="2"/>
      <c r="O9" s="2"/>
      <c r="P9" s="2"/>
      <c r="Q9" s="2"/>
      <c r="S9" s="4">
        <f>SUM(N8:Q13)</f>
        <v>35</v>
      </c>
    </row>
    <row r="10" spans="1:19" x14ac:dyDescent="0.3">
      <c r="A10" s="1"/>
      <c r="B10">
        <v>4</v>
      </c>
      <c r="C10">
        <v>4</v>
      </c>
      <c r="D10">
        <v>3</v>
      </c>
      <c r="M10" s="1" t="s">
        <v>16</v>
      </c>
      <c r="N10" s="2"/>
      <c r="O10" s="2"/>
      <c r="P10" s="2"/>
      <c r="Q10" s="2"/>
    </row>
    <row r="11" spans="1:19" x14ac:dyDescent="0.3">
      <c r="A11" s="1"/>
      <c r="B11">
        <v>3</v>
      </c>
      <c r="C11">
        <v>4</v>
      </c>
      <c r="D11">
        <v>3</v>
      </c>
      <c r="M11" s="1" t="s">
        <v>17</v>
      </c>
      <c r="N11" s="2"/>
      <c r="O11" s="2"/>
      <c r="P11" s="2"/>
      <c r="Q11" s="2"/>
    </row>
    <row r="12" spans="1:19" x14ac:dyDescent="0.3">
      <c r="A12" s="1"/>
      <c r="B12">
        <v>4</v>
      </c>
      <c r="C12">
        <v>4</v>
      </c>
      <c r="D12">
        <v>3</v>
      </c>
      <c r="M12" s="1" t="s">
        <v>18</v>
      </c>
      <c r="N12" s="2"/>
      <c r="O12" s="2"/>
      <c r="P12" s="2"/>
      <c r="Q12" s="2"/>
    </row>
    <row r="13" spans="1:19" x14ac:dyDescent="0.3">
      <c r="A13" s="1"/>
      <c r="B13">
        <v>4</v>
      </c>
      <c r="C13">
        <v>4</v>
      </c>
      <c r="D13">
        <v>4</v>
      </c>
      <c r="M13" s="1" t="s">
        <v>19</v>
      </c>
      <c r="N13" s="2">
        <v>11</v>
      </c>
      <c r="O13" s="2">
        <v>7</v>
      </c>
      <c r="P13" s="2">
        <v>11</v>
      </c>
      <c r="Q13" s="2">
        <v>2</v>
      </c>
    </row>
    <row r="14" spans="1:19" x14ac:dyDescent="0.3">
      <c r="A14" s="1"/>
      <c r="C14">
        <v>4</v>
      </c>
      <c r="D14">
        <v>4</v>
      </c>
    </row>
    <row r="15" spans="1:19" x14ac:dyDescent="0.3">
      <c r="C15">
        <v>4</v>
      </c>
      <c r="D15">
        <v>3</v>
      </c>
    </row>
    <row r="16" spans="1:19" x14ac:dyDescent="0.3">
      <c r="C16">
        <v>4</v>
      </c>
      <c r="D16">
        <v>3</v>
      </c>
    </row>
    <row r="17" spans="2:7" x14ac:dyDescent="0.3">
      <c r="C17">
        <v>4</v>
      </c>
      <c r="D17">
        <v>3</v>
      </c>
    </row>
    <row r="18" spans="2:7" x14ac:dyDescent="0.3">
      <c r="C18">
        <v>5</v>
      </c>
      <c r="D18">
        <v>4</v>
      </c>
    </row>
    <row r="19" spans="2:7" x14ac:dyDescent="0.3">
      <c r="C19">
        <v>4</v>
      </c>
      <c r="D19">
        <v>4</v>
      </c>
    </row>
    <row r="20" spans="2:7" x14ac:dyDescent="0.3">
      <c r="C20">
        <v>4</v>
      </c>
      <c r="D20">
        <v>4</v>
      </c>
    </row>
    <row r="21" spans="2:7" x14ac:dyDescent="0.3">
      <c r="C21">
        <v>4</v>
      </c>
      <c r="D21">
        <v>4</v>
      </c>
    </row>
    <row r="22" spans="2:7" x14ac:dyDescent="0.3">
      <c r="C22">
        <v>4</v>
      </c>
      <c r="D22">
        <v>4</v>
      </c>
    </row>
    <row r="23" spans="2:7" x14ac:dyDescent="0.3">
      <c r="C23">
        <v>4</v>
      </c>
      <c r="D23">
        <v>4</v>
      </c>
    </row>
    <row r="24" spans="2:7" x14ac:dyDescent="0.3">
      <c r="C24">
        <v>4</v>
      </c>
      <c r="D24">
        <v>4</v>
      </c>
    </row>
    <row r="25" spans="2:7" x14ac:dyDescent="0.3">
      <c r="D25">
        <v>5</v>
      </c>
    </row>
    <row r="26" spans="2:7" x14ac:dyDescent="0.3">
      <c r="D26">
        <v>5</v>
      </c>
    </row>
    <row r="27" spans="2:7" x14ac:dyDescent="0.3">
      <c r="D27">
        <v>4</v>
      </c>
    </row>
    <row r="29" spans="2:7" x14ac:dyDescent="0.3">
      <c r="B29" s="2"/>
      <c r="C29" s="2"/>
      <c r="D29" s="2"/>
      <c r="E29" s="2"/>
      <c r="G29" t="s">
        <v>20</v>
      </c>
    </row>
    <row r="30" spans="2:7" x14ac:dyDescent="0.3">
      <c r="B30" s="5">
        <f>AVERAGE(B2:B27)</f>
        <v>3.5</v>
      </c>
      <c r="C30" s="5">
        <f t="shared" ref="C30:E30" si="0">AVERAGE(C2:C27)</f>
        <v>4.0434782608695654</v>
      </c>
      <c r="D30" s="5">
        <f t="shared" si="0"/>
        <v>3.8076923076923075</v>
      </c>
      <c r="E30" s="5">
        <f t="shared" si="0"/>
        <v>3.5714285714285716</v>
      </c>
      <c r="G30" s="6">
        <f>AVERAGE(B30:E30)</f>
        <v>3.730649784997611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704F-316A-4895-8449-63FB86DD5F40}">
  <dimension ref="A1:S27"/>
  <sheetViews>
    <sheetView zoomScale="57" workbookViewId="0">
      <selection activeCell="S3" sqref="S3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4</v>
      </c>
      <c r="C2">
        <v>4</v>
      </c>
      <c r="D2">
        <v>4</v>
      </c>
      <c r="E2">
        <v>4</v>
      </c>
      <c r="M2" s="1" t="s">
        <v>7</v>
      </c>
      <c r="N2" s="2"/>
      <c r="O2" s="2"/>
      <c r="P2" s="2">
        <v>1</v>
      </c>
      <c r="Q2" s="2"/>
      <c r="S2" s="4">
        <f>SUM(N1:Q6)</f>
        <v>1</v>
      </c>
    </row>
    <row r="3" spans="1:19" x14ac:dyDescent="0.3">
      <c r="A3" s="1" t="s">
        <v>8</v>
      </c>
      <c r="B3">
        <v>4</v>
      </c>
      <c r="C3">
        <v>4</v>
      </c>
      <c r="D3">
        <v>4</v>
      </c>
      <c r="E3">
        <v>3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4</v>
      </c>
      <c r="C4">
        <v>4</v>
      </c>
      <c r="D4">
        <v>4</v>
      </c>
      <c r="E4">
        <v>4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4</v>
      </c>
      <c r="C5">
        <v>4</v>
      </c>
      <c r="D5">
        <v>4</v>
      </c>
      <c r="E5">
        <v>4</v>
      </c>
      <c r="M5" s="1" t="s">
        <v>11</v>
      </c>
      <c r="N5" s="2"/>
      <c r="O5" s="2"/>
      <c r="P5" s="2"/>
      <c r="Q5" s="2"/>
    </row>
    <row r="6" spans="1:19" x14ac:dyDescent="0.3">
      <c r="A6" s="1"/>
      <c r="B6">
        <v>3</v>
      </c>
      <c r="C6">
        <v>4</v>
      </c>
      <c r="D6">
        <v>4</v>
      </c>
      <c r="E6">
        <v>5</v>
      </c>
      <c r="M6" s="1" t="s">
        <v>12</v>
      </c>
      <c r="N6" s="2"/>
      <c r="O6" s="2"/>
      <c r="P6" s="2"/>
      <c r="Q6" s="2"/>
    </row>
    <row r="7" spans="1:19" x14ac:dyDescent="0.3">
      <c r="A7" s="1"/>
      <c r="B7">
        <v>3</v>
      </c>
      <c r="C7">
        <v>4</v>
      </c>
      <c r="D7">
        <v>4</v>
      </c>
      <c r="E7">
        <v>4</v>
      </c>
    </row>
    <row r="8" spans="1:19" x14ac:dyDescent="0.3">
      <c r="A8" s="1"/>
      <c r="B8">
        <v>3</v>
      </c>
      <c r="C8">
        <v>4</v>
      </c>
      <c r="D8">
        <v>4</v>
      </c>
      <c r="E8">
        <v>4</v>
      </c>
      <c r="M8" s="1" t="s">
        <v>13</v>
      </c>
      <c r="N8" s="2">
        <v>1</v>
      </c>
      <c r="O8" s="2">
        <v>1</v>
      </c>
      <c r="P8" s="2"/>
      <c r="Q8" s="2"/>
      <c r="S8" t="s">
        <v>14</v>
      </c>
    </row>
    <row r="9" spans="1:19" x14ac:dyDescent="0.3">
      <c r="A9" s="1"/>
      <c r="B9">
        <v>3</v>
      </c>
      <c r="C9">
        <v>4</v>
      </c>
      <c r="D9">
        <v>3</v>
      </c>
      <c r="E9">
        <v>3</v>
      </c>
      <c r="M9" s="1" t="s">
        <v>15</v>
      </c>
      <c r="N9" s="2"/>
      <c r="O9" s="2"/>
      <c r="P9" s="2"/>
      <c r="Q9" s="2"/>
      <c r="S9" s="4">
        <f>SUM(N8:Q13)</f>
        <v>22</v>
      </c>
    </row>
    <row r="10" spans="1:19" x14ac:dyDescent="0.3">
      <c r="A10" s="1"/>
      <c r="B10">
        <v>3</v>
      </c>
      <c r="C10">
        <v>4</v>
      </c>
      <c r="D10">
        <v>3</v>
      </c>
      <c r="E10">
        <v>3</v>
      </c>
      <c r="M10" s="1" t="s">
        <v>16</v>
      </c>
      <c r="N10" s="2"/>
      <c r="O10" s="2"/>
      <c r="P10" s="2"/>
      <c r="Q10" s="2"/>
    </row>
    <row r="11" spans="1:19" x14ac:dyDescent="0.3">
      <c r="A11" s="1"/>
      <c r="B11">
        <v>3</v>
      </c>
      <c r="C11">
        <v>4</v>
      </c>
      <c r="D11">
        <v>4</v>
      </c>
      <c r="E11">
        <v>3</v>
      </c>
      <c r="M11" s="1" t="s">
        <v>17</v>
      </c>
      <c r="N11" s="2">
        <v>4</v>
      </c>
      <c r="O11" s="2"/>
      <c r="P11" s="2"/>
      <c r="Q11" s="2">
        <v>3</v>
      </c>
    </row>
    <row r="12" spans="1:19" x14ac:dyDescent="0.3">
      <c r="A12" s="1"/>
      <c r="B12">
        <v>2</v>
      </c>
      <c r="C12">
        <v>4</v>
      </c>
      <c r="D12">
        <v>4</v>
      </c>
      <c r="E12">
        <v>3</v>
      </c>
      <c r="M12" s="1" t="s">
        <v>18</v>
      </c>
      <c r="N12" s="2"/>
      <c r="O12" s="2"/>
      <c r="P12" s="2"/>
      <c r="Q12" s="2"/>
    </row>
    <row r="13" spans="1:19" x14ac:dyDescent="0.3">
      <c r="A13" s="1"/>
      <c r="B13">
        <v>2</v>
      </c>
      <c r="C13">
        <v>4</v>
      </c>
      <c r="D13">
        <v>4</v>
      </c>
      <c r="E13">
        <v>3</v>
      </c>
      <c r="M13" s="1" t="s">
        <v>19</v>
      </c>
      <c r="N13" s="2">
        <v>2</v>
      </c>
      <c r="O13" s="2">
        <v>3</v>
      </c>
      <c r="P13" s="2"/>
      <c r="Q13" s="2">
        <v>8</v>
      </c>
    </row>
    <row r="14" spans="1:19" x14ac:dyDescent="0.3">
      <c r="A14" s="1"/>
      <c r="B14">
        <v>2</v>
      </c>
      <c r="C14">
        <v>4</v>
      </c>
      <c r="D14">
        <v>4</v>
      </c>
      <c r="E14">
        <v>3</v>
      </c>
    </row>
    <row r="15" spans="1:19" x14ac:dyDescent="0.3">
      <c r="B15">
        <v>2</v>
      </c>
      <c r="C15">
        <v>4</v>
      </c>
      <c r="D15">
        <v>4</v>
      </c>
      <c r="E15">
        <v>6</v>
      </c>
    </row>
    <row r="16" spans="1:19" x14ac:dyDescent="0.3">
      <c r="C16">
        <v>3</v>
      </c>
      <c r="D16">
        <v>4</v>
      </c>
      <c r="E16">
        <v>4</v>
      </c>
    </row>
    <row r="17" spans="2:7" x14ac:dyDescent="0.3">
      <c r="C17">
        <v>3</v>
      </c>
      <c r="D17">
        <v>3</v>
      </c>
    </row>
    <row r="18" spans="2:7" x14ac:dyDescent="0.3">
      <c r="C18">
        <v>3</v>
      </c>
      <c r="D18">
        <v>2</v>
      </c>
    </row>
    <row r="19" spans="2:7" x14ac:dyDescent="0.3">
      <c r="C19">
        <v>3</v>
      </c>
      <c r="D19">
        <v>1</v>
      </c>
    </row>
    <row r="20" spans="2:7" x14ac:dyDescent="0.3">
      <c r="C20">
        <v>3</v>
      </c>
      <c r="D20">
        <v>1</v>
      </c>
    </row>
    <row r="21" spans="2:7" x14ac:dyDescent="0.3">
      <c r="C21">
        <v>4</v>
      </c>
      <c r="D21">
        <v>5</v>
      </c>
    </row>
    <row r="22" spans="2:7" x14ac:dyDescent="0.3">
      <c r="C22">
        <v>6</v>
      </c>
      <c r="D22">
        <v>5</v>
      </c>
    </row>
    <row r="23" spans="2:7" x14ac:dyDescent="0.3">
      <c r="D23">
        <v>5</v>
      </c>
    </row>
    <row r="24" spans="2:7" x14ac:dyDescent="0.3">
      <c r="D24">
        <v>4</v>
      </c>
    </row>
    <row r="26" spans="2:7" x14ac:dyDescent="0.3">
      <c r="B26" s="2"/>
      <c r="C26" s="2"/>
      <c r="D26" s="2"/>
      <c r="E26" s="2"/>
      <c r="G26" t="s">
        <v>20</v>
      </c>
    </row>
    <row r="27" spans="2:7" x14ac:dyDescent="0.3">
      <c r="B27" s="5">
        <f>AVERAGE(B2:B25)</f>
        <v>3</v>
      </c>
      <c r="C27" s="5">
        <f t="shared" ref="C27:E27" si="0">AVERAGE(C2:C25)</f>
        <v>3.8571428571428572</v>
      </c>
      <c r="D27" s="5">
        <f t="shared" si="0"/>
        <v>3.652173913043478</v>
      </c>
      <c r="E27" s="5">
        <f t="shared" si="0"/>
        <v>3.7333333333333334</v>
      </c>
      <c r="G27" s="6">
        <f>AVERAGE(B27:E27)</f>
        <v>3.5606625258799172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10934-9665-425C-A64F-22DD598F05FB}">
  <dimension ref="A1:S28"/>
  <sheetViews>
    <sheetView zoomScale="54" workbookViewId="0">
      <selection activeCell="S3" sqref="S3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4</v>
      </c>
      <c r="C2">
        <v>3</v>
      </c>
      <c r="D2">
        <v>4</v>
      </c>
      <c r="E2">
        <v>4</v>
      </c>
      <c r="M2" s="1" t="s">
        <v>7</v>
      </c>
      <c r="N2" s="2"/>
      <c r="O2" s="2"/>
      <c r="P2" s="2"/>
      <c r="Q2" s="2"/>
      <c r="S2" s="4">
        <v>0</v>
      </c>
    </row>
    <row r="3" spans="1:19" x14ac:dyDescent="0.3">
      <c r="A3" s="1" t="s">
        <v>8</v>
      </c>
      <c r="B3">
        <v>5</v>
      </c>
      <c r="C3">
        <v>4</v>
      </c>
      <c r="D3">
        <v>3</v>
      </c>
      <c r="E3">
        <v>1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3</v>
      </c>
      <c r="C4">
        <v>4</v>
      </c>
      <c r="D4">
        <v>3</v>
      </c>
      <c r="E4">
        <v>4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3</v>
      </c>
      <c r="C5">
        <v>4</v>
      </c>
      <c r="D5">
        <v>4</v>
      </c>
      <c r="M5" s="1" t="s">
        <v>11</v>
      </c>
      <c r="N5" s="2"/>
      <c r="O5" s="2"/>
      <c r="P5" s="2"/>
      <c r="Q5" s="2"/>
    </row>
    <row r="6" spans="1:19" x14ac:dyDescent="0.3">
      <c r="A6" s="1"/>
      <c r="B6">
        <v>3</v>
      </c>
      <c r="C6">
        <v>3</v>
      </c>
      <c r="D6">
        <v>3</v>
      </c>
      <c r="M6" s="1" t="s">
        <v>12</v>
      </c>
      <c r="N6" s="2"/>
      <c r="O6" s="2"/>
      <c r="P6" s="2"/>
      <c r="Q6" s="2"/>
    </row>
    <row r="7" spans="1:19" x14ac:dyDescent="0.3">
      <c r="A7" s="1"/>
      <c r="B7">
        <v>4</v>
      </c>
      <c r="C7">
        <v>3</v>
      </c>
      <c r="D7">
        <v>3</v>
      </c>
    </row>
    <row r="8" spans="1:19" x14ac:dyDescent="0.3">
      <c r="A8" s="1"/>
      <c r="B8">
        <v>3</v>
      </c>
      <c r="C8">
        <v>3</v>
      </c>
      <c r="M8" s="1" t="s">
        <v>13</v>
      </c>
      <c r="N8" s="2"/>
      <c r="O8" s="2"/>
      <c r="P8" s="2"/>
      <c r="Q8" s="2"/>
      <c r="S8" t="s">
        <v>14</v>
      </c>
    </row>
    <row r="9" spans="1:19" x14ac:dyDescent="0.3">
      <c r="A9" s="1"/>
      <c r="B9">
        <v>3</v>
      </c>
      <c r="C9">
        <v>4</v>
      </c>
      <c r="M9" s="1" t="s">
        <v>15</v>
      </c>
      <c r="N9" s="2"/>
      <c r="O9" s="2">
        <v>1</v>
      </c>
      <c r="P9" s="2"/>
      <c r="Q9" s="2"/>
      <c r="S9" s="4">
        <f>SUM(N8:Q13)</f>
        <v>23</v>
      </c>
    </row>
    <row r="10" spans="1:19" x14ac:dyDescent="0.3">
      <c r="A10" s="1"/>
      <c r="B10">
        <v>3</v>
      </c>
      <c r="C10">
        <v>3</v>
      </c>
      <c r="M10" s="1" t="s">
        <v>16</v>
      </c>
      <c r="N10" s="2"/>
      <c r="O10" s="2"/>
      <c r="P10" s="2"/>
      <c r="Q10" s="2"/>
    </row>
    <row r="11" spans="1:19" x14ac:dyDescent="0.3">
      <c r="A11" s="1"/>
      <c r="B11">
        <v>3</v>
      </c>
      <c r="C11">
        <v>3</v>
      </c>
      <c r="M11" s="1" t="s">
        <v>17</v>
      </c>
      <c r="N11" s="2"/>
      <c r="O11" s="2"/>
      <c r="P11" s="2"/>
      <c r="Q11" s="2"/>
    </row>
    <row r="12" spans="1:19" x14ac:dyDescent="0.3">
      <c r="A12" s="1"/>
      <c r="B12">
        <v>3</v>
      </c>
      <c r="C12">
        <v>3</v>
      </c>
      <c r="M12" s="1" t="s">
        <v>18</v>
      </c>
      <c r="N12" s="2"/>
      <c r="O12" s="2"/>
      <c r="P12" s="2"/>
      <c r="Q12" s="2"/>
    </row>
    <row r="13" spans="1:19" x14ac:dyDescent="0.3">
      <c r="A13" s="1"/>
      <c r="B13">
        <v>4</v>
      </c>
      <c r="C13">
        <v>3</v>
      </c>
      <c r="M13" s="1" t="s">
        <v>19</v>
      </c>
      <c r="N13" s="2">
        <v>2</v>
      </c>
      <c r="O13" s="2">
        <v>7</v>
      </c>
      <c r="P13" s="2">
        <v>13</v>
      </c>
      <c r="Q13" s="2"/>
    </row>
    <row r="14" spans="1:19" x14ac:dyDescent="0.3">
      <c r="A14" s="1"/>
      <c r="B14">
        <v>6</v>
      </c>
      <c r="C14">
        <v>3</v>
      </c>
    </row>
    <row r="15" spans="1:19" x14ac:dyDescent="0.3">
      <c r="B15">
        <v>5</v>
      </c>
      <c r="C15">
        <v>3</v>
      </c>
    </row>
    <row r="16" spans="1:19" x14ac:dyDescent="0.3">
      <c r="C16">
        <v>4</v>
      </c>
    </row>
    <row r="17" spans="2:7" x14ac:dyDescent="0.3">
      <c r="C17">
        <v>4</v>
      </c>
    </row>
    <row r="18" spans="2:7" x14ac:dyDescent="0.3">
      <c r="C18">
        <v>4</v>
      </c>
    </row>
    <row r="19" spans="2:7" x14ac:dyDescent="0.3">
      <c r="C19">
        <v>3</v>
      </c>
    </row>
    <row r="20" spans="2:7" x14ac:dyDescent="0.3">
      <c r="C20">
        <v>4</v>
      </c>
    </row>
    <row r="21" spans="2:7" x14ac:dyDescent="0.3">
      <c r="C21">
        <v>5</v>
      </c>
    </row>
    <row r="22" spans="2:7" x14ac:dyDescent="0.3">
      <c r="C22">
        <v>5</v>
      </c>
    </row>
    <row r="23" spans="2:7" x14ac:dyDescent="0.3">
      <c r="C23">
        <v>4</v>
      </c>
    </row>
    <row r="24" spans="2:7" x14ac:dyDescent="0.3">
      <c r="C24">
        <v>4</v>
      </c>
    </row>
    <row r="25" spans="2:7" x14ac:dyDescent="0.3">
      <c r="C25">
        <v>5</v>
      </c>
    </row>
    <row r="26" spans="2:7" x14ac:dyDescent="0.3">
      <c r="C26">
        <v>4</v>
      </c>
    </row>
    <row r="27" spans="2:7" x14ac:dyDescent="0.3">
      <c r="B27" s="2"/>
      <c r="C27" s="2"/>
      <c r="D27" s="2"/>
      <c r="E27" s="2"/>
      <c r="G27" t="s">
        <v>20</v>
      </c>
    </row>
    <row r="28" spans="2:7" x14ac:dyDescent="0.3">
      <c r="B28" s="5">
        <f>AVERAGE(B2:B26)</f>
        <v>3.7142857142857144</v>
      </c>
      <c r="C28" s="5">
        <f t="shared" ref="C28:E28" si="0">AVERAGE(C2:C26)</f>
        <v>3.68</v>
      </c>
      <c r="D28" s="5">
        <f t="shared" si="0"/>
        <v>3.3333333333333335</v>
      </c>
      <c r="E28" s="5">
        <f t="shared" si="0"/>
        <v>3</v>
      </c>
      <c r="G28" s="6">
        <f>AVERAGE(B28:E28)</f>
        <v>3.4319047619047622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D2247-CE12-4398-9E75-BA160B2B1E0F}">
  <dimension ref="A1:S18"/>
  <sheetViews>
    <sheetView zoomScale="59" workbookViewId="0">
      <selection activeCell="S10" sqref="S10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5</v>
      </c>
      <c r="C2">
        <v>3</v>
      </c>
      <c r="D2">
        <v>4</v>
      </c>
      <c r="E2">
        <v>4</v>
      </c>
      <c r="M2" s="1" t="s">
        <v>7</v>
      </c>
      <c r="N2" s="2"/>
      <c r="O2" s="2"/>
      <c r="P2" s="2"/>
      <c r="Q2" s="2"/>
      <c r="S2" s="4">
        <v>0</v>
      </c>
    </row>
    <row r="3" spans="1:19" x14ac:dyDescent="0.3">
      <c r="A3" s="1" t="s">
        <v>8</v>
      </c>
      <c r="B3">
        <v>3</v>
      </c>
      <c r="C3">
        <v>3</v>
      </c>
      <c r="D3">
        <v>4</v>
      </c>
      <c r="E3">
        <v>4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4</v>
      </c>
      <c r="C4">
        <v>3</v>
      </c>
      <c r="D4">
        <v>4</v>
      </c>
      <c r="E4">
        <v>4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6</v>
      </c>
      <c r="C5">
        <v>3</v>
      </c>
      <c r="D5">
        <v>4</v>
      </c>
      <c r="E5">
        <v>4</v>
      </c>
      <c r="M5" s="1" t="s">
        <v>11</v>
      </c>
      <c r="N5" s="2"/>
      <c r="O5" s="2"/>
      <c r="P5" s="2"/>
      <c r="Q5" s="2"/>
    </row>
    <row r="6" spans="1:19" x14ac:dyDescent="0.3">
      <c r="A6" s="1"/>
      <c r="B6">
        <v>4</v>
      </c>
      <c r="C6">
        <v>3</v>
      </c>
      <c r="D6">
        <v>3</v>
      </c>
      <c r="E6">
        <v>4</v>
      </c>
      <c r="M6" s="1" t="s">
        <v>12</v>
      </c>
      <c r="N6" s="2"/>
      <c r="O6" s="2"/>
      <c r="P6" s="2"/>
      <c r="Q6" s="2"/>
    </row>
    <row r="7" spans="1:19" x14ac:dyDescent="0.3">
      <c r="A7" s="1"/>
      <c r="B7">
        <v>4</v>
      </c>
      <c r="C7">
        <v>3</v>
      </c>
      <c r="D7">
        <v>4</v>
      </c>
      <c r="E7">
        <v>4</v>
      </c>
    </row>
    <row r="8" spans="1:19" x14ac:dyDescent="0.3">
      <c r="A8" s="1"/>
      <c r="C8">
        <v>2</v>
      </c>
      <c r="D8">
        <v>3</v>
      </c>
      <c r="E8">
        <v>4</v>
      </c>
      <c r="M8" s="1" t="s">
        <v>13</v>
      </c>
      <c r="N8" s="2">
        <v>2</v>
      </c>
      <c r="O8" s="2"/>
      <c r="P8" s="2"/>
      <c r="Q8" s="2"/>
      <c r="S8" t="s">
        <v>14</v>
      </c>
    </row>
    <row r="9" spans="1:19" x14ac:dyDescent="0.3">
      <c r="A9" s="1"/>
      <c r="C9">
        <v>3</v>
      </c>
      <c r="D9">
        <v>3</v>
      </c>
      <c r="E9">
        <v>3</v>
      </c>
      <c r="M9" s="1" t="s">
        <v>15</v>
      </c>
      <c r="N9" s="2"/>
      <c r="O9" s="2"/>
      <c r="P9" s="2"/>
      <c r="Q9" s="2"/>
      <c r="S9" s="4">
        <f>SUM(N8:Q13)</f>
        <v>20</v>
      </c>
    </row>
    <row r="10" spans="1:19" x14ac:dyDescent="0.3">
      <c r="A10" s="1"/>
      <c r="D10">
        <v>3</v>
      </c>
      <c r="E10">
        <v>3</v>
      </c>
      <c r="M10" s="1" t="s">
        <v>16</v>
      </c>
      <c r="N10" s="2"/>
      <c r="O10" s="2"/>
      <c r="P10" s="2"/>
      <c r="Q10" s="2"/>
    </row>
    <row r="11" spans="1:19" x14ac:dyDescent="0.3">
      <c r="A11" s="1"/>
      <c r="D11">
        <v>3</v>
      </c>
      <c r="E11">
        <v>3</v>
      </c>
      <c r="M11" s="1" t="s">
        <v>17</v>
      </c>
      <c r="N11" s="2">
        <v>1</v>
      </c>
      <c r="O11" s="2"/>
      <c r="P11" s="2"/>
      <c r="Q11" s="2"/>
    </row>
    <row r="12" spans="1:19" x14ac:dyDescent="0.3">
      <c r="A12" s="1"/>
      <c r="D12">
        <v>1</v>
      </c>
      <c r="E12">
        <v>3</v>
      </c>
      <c r="M12" s="1" t="s">
        <v>18</v>
      </c>
      <c r="N12" s="2"/>
      <c r="O12" s="2"/>
      <c r="P12" s="2"/>
      <c r="Q12" s="2"/>
    </row>
    <row r="13" spans="1:19" x14ac:dyDescent="0.3">
      <c r="A13" s="1"/>
      <c r="D13">
        <v>4</v>
      </c>
      <c r="E13">
        <v>3</v>
      </c>
      <c r="M13" s="1" t="s">
        <v>19</v>
      </c>
      <c r="N13" s="2">
        <v>10</v>
      </c>
      <c r="O13" s="2">
        <v>3</v>
      </c>
      <c r="P13" s="2">
        <v>4</v>
      </c>
      <c r="Q13" s="2"/>
    </row>
    <row r="14" spans="1:19" x14ac:dyDescent="0.3">
      <c r="A14" s="1"/>
      <c r="E14">
        <v>3</v>
      </c>
    </row>
    <row r="15" spans="1:19" x14ac:dyDescent="0.3">
      <c r="E15">
        <v>3</v>
      </c>
    </row>
    <row r="17" spans="2:7" x14ac:dyDescent="0.3">
      <c r="B17" s="2"/>
      <c r="C17" s="2"/>
      <c r="D17" s="2"/>
      <c r="E17" s="2"/>
      <c r="G17" t="s">
        <v>20</v>
      </c>
    </row>
    <row r="18" spans="2:7" x14ac:dyDescent="0.3">
      <c r="B18" s="5">
        <f>AVERAGE(B2:B16)</f>
        <v>4.333333333333333</v>
      </c>
      <c r="C18" s="5">
        <f t="shared" ref="C18:E18" si="0">AVERAGE(C2:C16)</f>
        <v>2.875</v>
      </c>
      <c r="D18" s="5">
        <f t="shared" si="0"/>
        <v>3.3333333333333335</v>
      </c>
      <c r="E18" s="5">
        <f t="shared" si="0"/>
        <v>3.5</v>
      </c>
      <c r="G18" s="6">
        <f>AVERAGE(B18:E18)</f>
        <v>3.5104166666666665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1204-0957-40C7-8EC6-0BC8E14100C3}">
  <dimension ref="A1:S15"/>
  <sheetViews>
    <sheetView zoomScale="64" workbookViewId="0">
      <selection activeCell="S3" sqref="S3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4</v>
      </c>
      <c r="C2">
        <v>4</v>
      </c>
      <c r="D2">
        <v>4</v>
      </c>
      <c r="E2">
        <v>4</v>
      </c>
      <c r="M2" s="1" t="s">
        <v>7</v>
      </c>
      <c r="N2" s="2"/>
      <c r="O2" s="2"/>
      <c r="P2" s="2"/>
      <c r="Q2" s="2"/>
      <c r="S2" s="4">
        <v>0</v>
      </c>
    </row>
    <row r="3" spans="1:19" x14ac:dyDescent="0.3">
      <c r="A3" s="1" t="s">
        <v>8</v>
      </c>
      <c r="B3">
        <v>3</v>
      </c>
      <c r="C3">
        <v>4</v>
      </c>
      <c r="D3">
        <v>3</v>
      </c>
      <c r="E3">
        <v>4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2</v>
      </c>
      <c r="C4">
        <v>3</v>
      </c>
      <c r="E4">
        <v>3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3</v>
      </c>
      <c r="C5">
        <v>3</v>
      </c>
      <c r="E5">
        <v>5</v>
      </c>
      <c r="M5" s="1" t="s">
        <v>11</v>
      </c>
      <c r="N5" s="2"/>
      <c r="O5" s="2"/>
      <c r="P5" s="2"/>
      <c r="Q5" s="2"/>
    </row>
    <row r="6" spans="1:19" x14ac:dyDescent="0.3">
      <c r="A6" s="1"/>
      <c r="B6">
        <v>2</v>
      </c>
      <c r="C6">
        <v>3</v>
      </c>
      <c r="M6" s="1" t="s">
        <v>12</v>
      </c>
      <c r="N6" s="2"/>
      <c r="O6" s="2"/>
      <c r="P6" s="2"/>
      <c r="Q6" s="2"/>
    </row>
    <row r="7" spans="1:19" x14ac:dyDescent="0.3">
      <c r="A7" s="1"/>
      <c r="B7">
        <v>3</v>
      </c>
      <c r="C7">
        <v>3</v>
      </c>
    </row>
    <row r="8" spans="1:19" x14ac:dyDescent="0.3">
      <c r="A8" s="1"/>
      <c r="B8">
        <v>3</v>
      </c>
      <c r="C8">
        <v>3</v>
      </c>
      <c r="M8" s="1" t="s">
        <v>13</v>
      </c>
      <c r="N8" s="2"/>
      <c r="O8" s="2"/>
      <c r="P8" s="2"/>
      <c r="Q8" s="2"/>
      <c r="S8" t="s">
        <v>14</v>
      </c>
    </row>
    <row r="9" spans="1:19" x14ac:dyDescent="0.3">
      <c r="A9" s="1"/>
      <c r="C9">
        <v>3</v>
      </c>
      <c r="M9" s="1" t="s">
        <v>15</v>
      </c>
      <c r="N9" s="2"/>
      <c r="O9" s="2"/>
      <c r="P9" s="2"/>
      <c r="Q9" s="2"/>
      <c r="S9" s="4">
        <f>SUM(N8:Q13)</f>
        <v>45</v>
      </c>
    </row>
    <row r="10" spans="1:19" x14ac:dyDescent="0.3">
      <c r="A10" s="1"/>
      <c r="C10">
        <v>3</v>
      </c>
      <c r="M10" s="1" t="s">
        <v>16</v>
      </c>
      <c r="N10" s="2"/>
      <c r="O10" s="2"/>
      <c r="P10" s="2"/>
      <c r="Q10" s="2"/>
    </row>
    <row r="11" spans="1:19" x14ac:dyDescent="0.3">
      <c r="A11" s="1"/>
      <c r="C11">
        <v>3</v>
      </c>
      <c r="M11" s="1" t="s">
        <v>17</v>
      </c>
      <c r="N11" s="2"/>
      <c r="O11" s="2">
        <v>3</v>
      </c>
      <c r="P11" s="2">
        <v>2</v>
      </c>
      <c r="Q11" s="2"/>
    </row>
    <row r="12" spans="1:19" x14ac:dyDescent="0.3">
      <c r="A12" s="1"/>
      <c r="C12">
        <v>3</v>
      </c>
      <c r="M12" s="1" t="s">
        <v>18</v>
      </c>
      <c r="N12" s="2">
        <v>1</v>
      </c>
      <c r="O12" s="2"/>
      <c r="P12" s="2">
        <v>1</v>
      </c>
      <c r="Q12" s="2"/>
    </row>
    <row r="13" spans="1:19" x14ac:dyDescent="0.3">
      <c r="A13" s="1"/>
      <c r="M13" s="1" t="s">
        <v>19</v>
      </c>
      <c r="N13" s="2">
        <v>11</v>
      </c>
      <c r="O13" s="2">
        <v>3</v>
      </c>
      <c r="P13" s="2">
        <v>7</v>
      </c>
      <c r="Q13" s="2">
        <v>17</v>
      </c>
    </row>
    <row r="14" spans="1:19" x14ac:dyDescent="0.3">
      <c r="A14" s="1"/>
      <c r="B14" s="2"/>
      <c r="C14" s="2"/>
      <c r="D14" s="2"/>
      <c r="E14" s="2"/>
      <c r="G14" t="s">
        <v>20</v>
      </c>
    </row>
    <row r="15" spans="1:19" x14ac:dyDescent="0.3">
      <c r="B15" s="5">
        <f>AVERAGE(B2:B13)</f>
        <v>2.8571428571428572</v>
      </c>
      <c r="C15" s="5">
        <f t="shared" ref="C15:E15" si="0">AVERAGE(C2:C13)</f>
        <v>3.1818181818181817</v>
      </c>
      <c r="D15" s="5">
        <f t="shared" si="0"/>
        <v>3.5</v>
      </c>
      <c r="E15" s="5">
        <f t="shared" si="0"/>
        <v>4</v>
      </c>
      <c r="G15" s="6">
        <f>AVERAGE(B15:E15)</f>
        <v>3.3847402597402598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CDAF-04CB-461F-A6E0-B17C2B3CD68C}">
  <dimension ref="A1:S22"/>
  <sheetViews>
    <sheetView zoomScale="61" workbookViewId="0">
      <selection activeCell="S3" sqref="S3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3</v>
      </c>
      <c r="C2">
        <v>5</v>
      </c>
      <c r="D2">
        <v>3</v>
      </c>
      <c r="E2">
        <v>3</v>
      </c>
      <c r="M2" s="1" t="s">
        <v>7</v>
      </c>
      <c r="N2" s="2">
        <v>1</v>
      </c>
      <c r="O2" s="2"/>
      <c r="P2" s="2"/>
      <c r="Q2" s="2"/>
      <c r="S2" s="4">
        <f>SUM(N1:Q6)</f>
        <v>1</v>
      </c>
    </row>
    <row r="3" spans="1:19" x14ac:dyDescent="0.3">
      <c r="A3" s="1" t="s">
        <v>8</v>
      </c>
      <c r="B3">
        <v>3</v>
      </c>
      <c r="C3">
        <v>5</v>
      </c>
      <c r="D3">
        <v>4</v>
      </c>
      <c r="E3">
        <v>3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3</v>
      </c>
      <c r="C4">
        <v>5</v>
      </c>
      <c r="D4">
        <v>3</v>
      </c>
      <c r="E4">
        <v>3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3</v>
      </c>
      <c r="C5">
        <v>6</v>
      </c>
      <c r="D5">
        <v>3</v>
      </c>
      <c r="E5">
        <v>3</v>
      </c>
      <c r="M5" s="1" t="s">
        <v>11</v>
      </c>
      <c r="N5" s="2"/>
      <c r="O5" s="2"/>
      <c r="P5" s="2"/>
      <c r="Q5" s="2"/>
    </row>
    <row r="6" spans="1:19" x14ac:dyDescent="0.3">
      <c r="A6" s="1"/>
      <c r="B6">
        <v>3</v>
      </c>
      <c r="C6">
        <v>6</v>
      </c>
      <c r="D6">
        <v>4</v>
      </c>
      <c r="E6">
        <v>4</v>
      </c>
      <c r="M6" s="1" t="s">
        <v>12</v>
      </c>
      <c r="N6" s="2"/>
      <c r="O6" s="2"/>
      <c r="P6" s="2"/>
      <c r="Q6" s="2"/>
    </row>
    <row r="7" spans="1:19" x14ac:dyDescent="0.3">
      <c r="A7" s="1"/>
      <c r="B7">
        <v>3</v>
      </c>
      <c r="C7">
        <v>6</v>
      </c>
      <c r="D7">
        <v>5</v>
      </c>
      <c r="E7">
        <v>4</v>
      </c>
    </row>
    <row r="8" spans="1:19" x14ac:dyDescent="0.3">
      <c r="A8" s="1"/>
      <c r="B8">
        <v>3</v>
      </c>
      <c r="C8">
        <v>6</v>
      </c>
      <c r="D8">
        <v>4</v>
      </c>
      <c r="E8">
        <v>4</v>
      </c>
      <c r="M8" s="1" t="s">
        <v>13</v>
      </c>
      <c r="N8" s="2"/>
      <c r="O8" s="2"/>
      <c r="P8" s="2">
        <v>2</v>
      </c>
      <c r="Q8" s="2">
        <v>4</v>
      </c>
      <c r="S8" t="s">
        <v>14</v>
      </c>
    </row>
    <row r="9" spans="1:19" x14ac:dyDescent="0.3">
      <c r="A9" s="1"/>
      <c r="B9">
        <v>1</v>
      </c>
      <c r="C9">
        <v>3</v>
      </c>
      <c r="D9">
        <v>4</v>
      </c>
      <c r="E9">
        <v>4</v>
      </c>
      <c r="M9" s="1" t="s">
        <v>15</v>
      </c>
      <c r="N9" s="2"/>
      <c r="O9" s="2"/>
      <c r="P9" s="2"/>
      <c r="Q9" s="2"/>
      <c r="S9" s="4">
        <f>SUM(N8:Q13)</f>
        <v>44</v>
      </c>
    </row>
    <row r="10" spans="1:19" x14ac:dyDescent="0.3">
      <c r="A10" s="1"/>
      <c r="B10">
        <v>3</v>
      </c>
      <c r="C10">
        <v>3</v>
      </c>
      <c r="D10">
        <v>3</v>
      </c>
      <c r="E10">
        <v>4</v>
      </c>
      <c r="M10" s="1" t="s">
        <v>16</v>
      </c>
      <c r="N10" s="2"/>
      <c r="O10" s="2"/>
      <c r="P10" s="2"/>
      <c r="Q10" s="2"/>
    </row>
    <row r="11" spans="1:19" x14ac:dyDescent="0.3">
      <c r="A11" s="1"/>
      <c r="B11">
        <v>4</v>
      </c>
      <c r="C11">
        <v>3</v>
      </c>
      <c r="E11">
        <v>4</v>
      </c>
      <c r="M11" s="1" t="s">
        <v>17</v>
      </c>
      <c r="N11" s="2">
        <v>7</v>
      </c>
      <c r="O11" s="2"/>
      <c r="P11" s="2"/>
      <c r="Q11" s="2"/>
    </row>
    <row r="12" spans="1:19" x14ac:dyDescent="0.3">
      <c r="A12" s="1"/>
      <c r="B12">
        <v>3</v>
      </c>
      <c r="C12">
        <v>3</v>
      </c>
      <c r="E12">
        <v>4</v>
      </c>
      <c r="M12" s="1" t="s">
        <v>18</v>
      </c>
      <c r="N12" s="2"/>
      <c r="O12" s="2"/>
      <c r="P12" s="2"/>
      <c r="Q12" s="2"/>
    </row>
    <row r="13" spans="1:19" x14ac:dyDescent="0.3">
      <c r="A13" s="1"/>
      <c r="B13">
        <v>5</v>
      </c>
      <c r="C13">
        <v>3</v>
      </c>
      <c r="E13">
        <v>3</v>
      </c>
      <c r="M13" s="1" t="s">
        <v>19</v>
      </c>
      <c r="N13" s="2">
        <v>6</v>
      </c>
      <c r="O13" s="2">
        <v>2</v>
      </c>
      <c r="P13" s="2">
        <v>3</v>
      </c>
      <c r="Q13" s="2">
        <v>20</v>
      </c>
    </row>
    <row r="14" spans="1:19" x14ac:dyDescent="0.3">
      <c r="A14" s="1"/>
      <c r="B14">
        <v>6</v>
      </c>
      <c r="C14">
        <v>3</v>
      </c>
      <c r="E14">
        <v>3</v>
      </c>
    </row>
    <row r="15" spans="1:19" x14ac:dyDescent="0.3">
      <c r="B15">
        <v>6</v>
      </c>
      <c r="C15">
        <v>3</v>
      </c>
      <c r="E15">
        <v>3</v>
      </c>
    </row>
    <row r="16" spans="1:19" x14ac:dyDescent="0.3">
      <c r="C16">
        <v>3</v>
      </c>
      <c r="E16">
        <v>5</v>
      </c>
    </row>
    <row r="17" spans="2:7" x14ac:dyDescent="0.3">
      <c r="C17">
        <v>3</v>
      </c>
      <c r="E17">
        <v>3</v>
      </c>
    </row>
    <row r="18" spans="2:7" x14ac:dyDescent="0.3">
      <c r="C18">
        <v>3</v>
      </c>
      <c r="E18">
        <v>4</v>
      </c>
    </row>
    <row r="19" spans="2:7" x14ac:dyDescent="0.3">
      <c r="C19">
        <v>3</v>
      </c>
      <c r="E19">
        <v>3</v>
      </c>
    </row>
    <row r="21" spans="2:7" x14ac:dyDescent="0.3">
      <c r="B21" s="2"/>
      <c r="C21" s="2"/>
      <c r="D21" s="2"/>
      <c r="E21" s="2"/>
      <c r="G21" t="s">
        <v>20</v>
      </c>
    </row>
    <row r="22" spans="2:7" x14ac:dyDescent="0.3">
      <c r="B22" s="5">
        <f>AVERAGE(B2:B20)</f>
        <v>3.5</v>
      </c>
      <c r="C22" s="5">
        <f t="shared" ref="C22:E22" si="0">AVERAGE(C2:C20)</f>
        <v>4</v>
      </c>
      <c r="D22" s="5">
        <f t="shared" si="0"/>
        <v>3.6666666666666665</v>
      </c>
      <c r="E22" s="5">
        <f t="shared" si="0"/>
        <v>3.5555555555555554</v>
      </c>
      <c r="G22" s="6">
        <f>AVERAGE(B22:E22)</f>
        <v>3.6805555555555554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395A5-7EBF-4F9F-A8C4-2A369F084002}">
  <dimension ref="A1:S16"/>
  <sheetViews>
    <sheetView zoomScale="60" workbookViewId="0">
      <selection activeCell="S3" sqref="S3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3</v>
      </c>
      <c r="C2">
        <v>4</v>
      </c>
      <c r="D2">
        <v>4</v>
      </c>
      <c r="E2">
        <v>3</v>
      </c>
      <c r="M2" s="1" t="s">
        <v>7</v>
      </c>
      <c r="N2" s="2">
        <v>1</v>
      </c>
      <c r="O2" s="2"/>
      <c r="P2" s="2"/>
      <c r="Q2" s="2"/>
      <c r="S2" s="4">
        <f>SUM(N1:Q6)</f>
        <v>1</v>
      </c>
    </row>
    <row r="3" spans="1:19" x14ac:dyDescent="0.3">
      <c r="A3" s="1" t="s">
        <v>8</v>
      </c>
      <c r="B3">
        <v>3</v>
      </c>
      <c r="C3">
        <v>4</v>
      </c>
      <c r="D3">
        <v>4</v>
      </c>
      <c r="E3">
        <v>2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3</v>
      </c>
      <c r="C4">
        <v>6</v>
      </c>
      <c r="D4">
        <v>5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3</v>
      </c>
      <c r="C5">
        <v>6</v>
      </c>
      <c r="D5">
        <v>4</v>
      </c>
      <c r="M5" s="1" t="s">
        <v>11</v>
      </c>
      <c r="N5" s="2"/>
      <c r="O5" s="2"/>
      <c r="P5" s="2"/>
      <c r="Q5" s="2"/>
    </row>
    <row r="6" spans="1:19" x14ac:dyDescent="0.3">
      <c r="A6" s="1"/>
      <c r="B6">
        <v>3</v>
      </c>
      <c r="C6">
        <v>3</v>
      </c>
      <c r="D6">
        <v>3</v>
      </c>
      <c r="M6" s="1" t="s">
        <v>12</v>
      </c>
      <c r="N6" s="2"/>
      <c r="O6" s="2"/>
      <c r="P6" s="2"/>
      <c r="Q6" s="2"/>
    </row>
    <row r="7" spans="1:19" x14ac:dyDescent="0.3">
      <c r="A7" s="1"/>
      <c r="B7">
        <v>3</v>
      </c>
      <c r="C7">
        <v>4</v>
      </c>
      <c r="D7">
        <v>3</v>
      </c>
    </row>
    <row r="8" spans="1:19" x14ac:dyDescent="0.3">
      <c r="A8" s="1"/>
      <c r="B8">
        <v>4</v>
      </c>
      <c r="C8">
        <v>4</v>
      </c>
      <c r="D8">
        <v>6</v>
      </c>
      <c r="M8" s="1" t="s">
        <v>13</v>
      </c>
      <c r="N8" s="2"/>
      <c r="O8" s="2"/>
      <c r="P8" s="2"/>
      <c r="Q8" s="2"/>
      <c r="S8" t="s">
        <v>14</v>
      </c>
    </row>
    <row r="9" spans="1:19" x14ac:dyDescent="0.3">
      <c r="A9" s="1"/>
      <c r="C9">
        <v>4</v>
      </c>
      <c r="D9">
        <v>2</v>
      </c>
      <c r="M9" s="1" t="s">
        <v>15</v>
      </c>
      <c r="N9" s="2"/>
      <c r="O9" s="2"/>
      <c r="P9" s="2"/>
      <c r="Q9" s="2"/>
      <c r="S9" s="4">
        <f>SUM(N8:Q13)</f>
        <v>38</v>
      </c>
    </row>
    <row r="10" spans="1:19" x14ac:dyDescent="0.3">
      <c r="A10" s="1"/>
      <c r="D10">
        <v>2</v>
      </c>
      <c r="M10" s="1" t="s">
        <v>16</v>
      </c>
      <c r="N10" s="2"/>
      <c r="O10" s="2"/>
      <c r="P10" s="2"/>
      <c r="Q10" s="2"/>
    </row>
    <row r="11" spans="1:19" x14ac:dyDescent="0.3">
      <c r="A11" s="1"/>
      <c r="D11">
        <v>1</v>
      </c>
      <c r="M11" s="1" t="s">
        <v>17</v>
      </c>
      <c r="N11" s="2">
        <v>1</v>
      </c>
      <c r="O11" s="2"/>
      <c r="P11" s="2">
        <v>1</v>
      </c>
      <c r="Q11" s="2"/>
    </row>
    <row r="12" spans="1:19" x14ac:dyDescent="0.3">
      <c r="A12" s="1"/>
      <c r="D12">
        <v>1</v>
      </c>
      <c r="M12" s="1" t="s">
        <v>18</v>
      </c>
      <c r="N12" s="2"/>
      <c r="O12" s="2"/>
      <c r="P12" s="2"/>
      <c r="Q12" s="2"/>
    </row>
    <row r="13" spans="1:19" x14ac:dyDescent="0.3">
      <c r="A13" s="1"/>
      <c r="D13">
        <v>3</v>
      </c>
      <c r="M13" s="1" t="s">
        <v>19</v>
      </c>
      <c r="N13" s="2">
        <v>5</v>
      </c>
      <c r="O13" s="2">
        <v>10</v>
      </c>
      <c r="P13" s="2">
        <v>12</v>
      </c>
      <c r="Q13" s="2">
        <v>9</v>
      </c>
    </row>
    <row r="14" spans="1:19" x14ac:dyDescent="0.3">
      <c r="A14" s="1"/>
    </row>
    <row r="15" spans="1:19" x14ac:dyDescent="0.3">
      <c r="B15" s="2"/>
      <c r="C15" s="2"/>
      <c r="D15" s="2"/>
      <c r="E15" s="2"/>
      <c r="G15" t="s">
        <v>20</v>
      </c>
    </row>
    <row r="16" spans="1:19" x14ac:dyDescent="0.3">
      <c r="B16" s="5">
        <f>AVERAGE(B2:B14)</f>
        <v>3.1428571428571428</v>
      </c>
      <c r="C16" s="5">
        <f t="shared" ref="C16:E16" si="0">AVERAGE(C2:C14)</f>
        <v>4.375</v>
      </c>
      <c r="D16" s="5">
        <f t="shared" si="0"/>
        <v>3.1666666666666665</v>
      </c>
      <c r="E16" s="5">
        <f t="shared" si="0"/>
        <v>2.5</v>
      </c>
      <c r="G16" s="6">
        <f>AVERAGE(B16:E16)</f>
        <v>3.2961309523809521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62B2A-D3F5-40F3-98F5-E93EB520657F}">
  <dimension ref="A1:S22"/>
  <sheetViews>
    <sheetView zoomScale="52" workbookViewId="0">
      <selection activeCell="S3" sqref="S3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6</v>
      </c>
      <c r="C2">
        <v>4</v>
      </c>
      <c r="D2">
        <v>3</v>
      </c>
      <c r="E2">
        <v>2</v>
      </c>
      <c r="M2" s="1" t="s">
        <v>7</v>
      </c>
      <c r="N2" s="2"/>
      <c r="O2" s="2"/>
      <c r="P2" s="2"/>
      <c r="Q2" s="2">
        <v>1</v>
      </c>
      <c r="S2" s="4">
        <f>SUM(N1:Q6)</f>
        <v>1</v>
      </c>
    </row>
    <row r="3" spans="1:19" x14ac:dyDescent="0.3">
      <c r="A3" s="1" t="s">
        <v>8</v>
      </c>
      <c r="B3">
        <v>6</v>
      </c>
      <c r="C3">
        <v>3</v>
      </c>
      <c r="D3">
        <v>3</v>
      </c>
      <c r="E3">
        <v>2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5</v>
      </c>
      <c r="C4">
        <v>3</v>
      </c>
      <c r="D4">
        <v>3</v>
      </c>
      <c r="E4">
        <v>2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5</v>
      </c>
      <c r="C5">
        <v>3</v>
      </c>
      <c r="D5">
        <v>3</v>
      </c>
      <c r="E5">
        <v>2</v>
      </c>
      <c r="M5" s="1" t="s">
        <v>11</v>
      </c>
      <c r="N5" s="2"/>
      <c r="O5" s="2"/>
      <c r="P5" s="2"/>
      <c r="Q5" s="2"/>
    </row>
    <row r="6" spans="1:19" x14ac:dyDescent="0.3">
      <c r="A6" s="1"/>
      <c r="B6">
        <v>6</v>
      </c>
      <c r="C6">
        <v>3</v>
      </c>
      <c r="D6">
        <v>6</v>
      </c>
      <c r="E6">
        <v>2</v>
      </c>
      <c r="M6" s="1" t="s">
        <v>12</v>
      </c>
      <c r="N6" s="2"/>
      <c r="O6" s="2"/>
      <c r="P6" s="2"/>
      <c r="Q6" s="2"/>
    </row>
    <row r="7" spans="1:19" x14ac:dyDescent="0.3">
      <c r="A7" s="1"/>
      <c r="B7">
        <v>3</v>
      </c>
      <c r="C7">
        <v>3</v>
      </c>
      <c r="D7">
        <v>4</v>
      </c>
      <c r="E7">
        <v>2</v>
      </c>
    </row>
    <row r="8" spans="1:19" x14ac:dyDescent="0.3">
      <c r="A8" s="1"/>
      <c r="B8">
        <v>4</v>
      </c>
      <c r="C8">
        <v>3</v>
      </c>
      <c r="D8">
        <v>6</v>
      </c>
      <c r="E8">
        <v>4</v>
      </c>
      <c r="M8" s="1" t="s">
        <v>13</v>
      </c>
      <c r="N8" s="2"/>
      <c r="O8" s="2"/>
      <c r="P8" s="2"/>
      <c r="Q8" s="2"/>
      <c r="S8" t="s">
        <v>14</v>
      </c>
    </row>
    <row r="9" spans="1:19" x14ac:dyDescent="0.3">
      <c r="A9" s="1"/>
      <c r="C9">
        <v>3</v>
      </c>
      <c r="D9">
        <v>6</v>
      </c>
      <c r="E9">
        <v>4</v>
      </c>
      <c r="M9" s="1" t="s">
        <v>15</v>
      </c>
      <c r="N9" s="2"/>
      <c r="O9" s="2">
        <v>1</v>
      </c>
      <c r="P9" s="2"/>
      <c r="Q9" s="2"/>
      <c r="S9" s="4">
        <f>SUM(N8:Q13)</f>
        <v>20</v>
      </c>
    </row>
    <row r="10" spans="1:19" x14ac:dyDescent="0.3">
      <c r="A10" s="1"/>
      <c r="C10">
        <v>3</v>
      </c>
      <c r="E10">
        <v>4</v>
      </c>
      <c r="M10" s="1" t="s">
        <v>16</v>
      </c>
      <c r="N10" s="2"/>
      <c r="O10" s="2"/>
      <c r="P10" s="2"/>
      <c r="Q10" s="2"/>
    </row>
    <row r="11" spans="1:19" x14ac:dyDescent="0.3">
      <c r="A11" s="1"/>
      <c r="C11">
        <v>3</v>
      </c>
      <c r="E11">
        <v>4</v>
      </c>
      <c r="M11" s="1" t="s">
        <v>17</v>
      </c>
      <c r="N11" s="2"/>
      <c r="O11" s="2">
        <v>1</v>
      </c>
      <c r="P11" s="2"/>
      <c r="Q11" s="2"/>
    </row>
    <row r="12" spans="1:19" x14ac:dyDescent="0.3">
      <c r="A12" s="1"/>
      <c r="C12">
        <v>3</v>
      </c>
      <c r="E12">
        <v>1</v>
      </c>
      <c r="M12" s="1" t="s">
        <v>18</v>
      </c>
      <c r="N12" s="2"/>
      <c r="O12" s="2"/>
      <c r="P12" s="2"/>
      <c r="Q12" s="2"/>
    </row>
    <row r="13" spans="1:19" x14ac:dyDescent="0.3">
      <c r="A13" s="1"/>
      <c r="C13">
        <v>3</v>
      </c>
      <c r="E13">
        <v>1</v>
      </c>
      <c r="M13" s="1" t="s">
        <v>19</v>
      </c>
      <c r="N13" s="2">
        <v>6</v>
      </c>
      <c r="O13" s="2">
        <v>2</v>
      </c>
      <c r="P13" s="2">
        <v>2</v>
      </c>
      <c r="Q13" s="2">
        <v>8</v>
      </c>
    </row>
    <row r="14" spans="1:19" x14ac:dyDescent="0.3">
      <c r="A14" s="1"/>
      <c r="E14">
        <v>1</v>
      </c>
    </row>
    <row r="15" spans="1:19" x14ac:dyDescent="0.3">
      <c r="E15">
        <v>1</v>
      </c>
    </row>
    <row r="16" spans="1:19" x14ac:dyDescent="0.3">
      <c r="E16">
        <v>1</v>
      </c>
    </row>
    <row r="17" spans="2:7" x14ac:dyDescent="0.3">
      <c r="E17">
        <v>1</v>
      </c>
    </row>
    <row r="18" spans="2:7" x14ac:dyDescent="0.3">
      <c r="E18">
        <v>1</v>
      </c>
    </row>
    <row r="19" spans="2:7" x14ac:dyDescent="0.3">
      <c r="E19">
        <v>1</v>
      </c>
    </row>
    <row r="20" spans="2:7" x14ac:dyDescent="0.3">
      <c r="E20">
        <v>3</v>
      </c>
    </row>
    <row r="21" spans="2:7" x14ac:dyDescent="0.3">
      <c r="B21" s="2"/>
      <c r="C21" s="2"/>
      <c r="D21" s="2"/>
      <c r="E21" s="2"/>
      <c r="G21" t="s">
        <v>20</v>
      </c>
    </row>
    <row r="22" spans="2:7" x14ac:dyDescent="0.3">
      <c r="B22" s="5">
        <f>AVERAGE(B2:B20)</f>
        <v>5</v>
      </c>
      <c r="C22" s="5">
        <f t="shared" ref="C22:E22" si="0">AVERAGE(C2:C20)</f>
        <v>3.0833333333333335</v>
      </c>
      <c r="D22" s="5">
        <f t="shared" si="0"/>
        <v>4.25</v>
      </c>
      <c r="E22" s="5">
        <f t="shared" si="0"/>
        <v>2.0526315789473686</v>
      </c>
      <c r="G22" s="6">
        <f>AVERAGE(B22:E22)</f>
        <v>3.5964912280701755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35EFC-4E67-463D-895B-C2A0FA663DB9}">
  <dimension ref="A1:S20"/>
  <sheetViews>
    <sheetView zoomScale="59" workbookViewId="0">
      <selection activeCell="S3" sqref="S3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5</v>
      </c>
      <c r="C2">
        <v>3</v>
      </c>
      <c r="D2">
        <v>3</v>
      </c>
      <c r="E2">
        <v>3</v>
      </c>
      <c r="M2" s="1" t="s">
        <v>7</v>
      </c>
      <c r="N2" s="2"/>
      <c r="O2" s="2"/>
      <c r="P2" s="2"/>
      <c r="Q2" s="2"/>
      <c r="S2" s="4">
        <v>0</v>
      </c>
    </row>
    <row r="3" spans="1:19" x14ac:dyDescent="0.3">
      <c r="A3" s="1" t="s">
        <v>8</v>
      </c>
      <c r="B3">
        <v>3</v>
      </c>
      <c r="C3">
        <v>3</v>
      </c>
      <c r="D3">
        <v>6</v>
      </c>
      <c r="E3">
        <v>3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3</v>
      </c>
      <c r="C4">
        <v>2</v>
      </c>
      <c r="D4">
        <v>5</v>
      </c>
      <c r="E4">
        <v>3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3</v>
      </c>
      <c r="C5">
        <v>2</v>
      </c>
      <c r="D5">
        <v>4</v>
      </c>
      <c r="E5">
        <v>4</v>
      </c>
      <c r="M5" s="1" t="s">
        <v>11</v>
      </c>
      <c r="N5" s="2"/>
      <c r="O5" s="2"/>
      <c r="P5" s="2"/>
      <c r="Q5" s="2"/>
    </row>
    <row r="6" spans="1:19" x14ac:dyDescent="0.3">
      <c r="A6" s="1"/>
      <c r="B6">
        <v>3</v>
      </c>
      <c r="D6">
        <v>4</v>
      </c>
      <c r="E6">
        <v>2</v>
      </c>
      <c r="M6" s="1" t="s">
        <v>12</v>
      </c>
      <c r="N6" s="2"/>
      <c r="O6" s="2"/>
      <c r="P6" s="2"/>
      <c r="Q6" s="2"/>
    </row>
    <row r="7" spans="1:19" x14ac:dyDescent="0.3">
      <c r="A7" s="1"/>
      <c r="B7">
        <v>3</v>
      </c>
      <c r="D7">
        <v>2</v>
      </c>
    </row>
    <row r="8" spans="1:19" x14ac:dyDescent="0.3">
      <c r="A8" s="1"/>
      <c r="B8">
        <v>3</v>
      </c>
      <c r="D8">
        <v>2</v>
      </c>
      <c r="M8" s="1" t="s">
        <v>13</v>
      </c>
      <c r="N8" s="2"/>
      <c r="O8" s="2"/>
      <c r="P8" s="2">
        <v>2</v>
      </c>
      <c r="Q8" s="2"/>
      <c r="S8" t="s">
        <v>14</v>
      </c>
    </row>
    <row r="9" spans="1:19" x14ac:dyDescent="0.3">
      <c r="A9" s="1"/>
      <c r="B9">
        <v>3</v>
      </c>
      <c r="D9">
        <v>2</v>
      </c>
      <c r="M9" s="1" t="s">
        <v>15</v>
      </c>
      <c r="N9" s="2"/>
      <c r="O9" s="2"/>
      <c r="P9" s="2"/>
      <c r="Q9" s="2"/>
      <c r="S9" s="4">
        <f>SUM(N8:Q13)</f>
        <v>35</v>
      </c>
    </row>
    <row r="10" spans="1:19" x14ac:dyDescent="0.3">
      <c r="A10" s="1"/>
      <c r="B10">
        <v>3</v>
      </c>
      <c r="D10">
        <v>2</v>
      </c>
      <c r="M10" s="1" t="s">
        <v>16</v>
      </c>
      <c r="N10" s="2"/>
      <c r="O10" s="2"/>
      <c r="P10" s="2"/>
      <c r="Q10" s="2"/>
    </row>
    <row r="11" spans="1:19" x14ac:dyDescent="0.3">
      <c r="A11" s="1"/>
      <c r="B11">
        <v>3</v>
      </c>
      <c r="D11">
        <v>3</v>
      </c>
      <c r="M11" s="1" t="s">
        <v>17</v>
      </c>
      <c r="N11" s="2"/>
      <c r="O11" s="2"/>
      <c r="P11" s="2">
        <v>3</v>
      </c>
      <c r="Q11" s="2"/>
    </row>
    <row r="12" spans="1:19" x14ac:dyDescent="0.3">
      <c r="A12" s="1"/>
      <c r="B12">
        <v>4</v>
      </c>
      <c r="D12">
        <v>3</v>
      </c>
      <c r="M12" s="1" t="s">
        <v>18</v>
      </c>
      <c r="N12" s="2"/>
      <c r="O12" s="2"/>
      <c r="P12" s="2"/>
      <c r="Q12" s="2"/>
    </row>
    <row r="13" spans="1:19" x14ac:dyDescent="0.3">
      <c r="A13" s="1"/>
      <c r="B13">
        <v>3</v>
      </c>
      <c r="M13" s="1" t="s">
        <v>19</v>
      </c>
      <c r="N13" s="2">
        <v>9</v>
      </c>
      <c r="O13" s="2">
        <v>5</v>
      </c>
      <c r="P13" s="2">
        <v>7</v>
      </c>
      <c r="Q13" s="2">
        <v>9</v>
      </c>
    </row>
    <row r="14" spans="1:19" x14ac:dyDescent="0.3">
      <c r="A14" s="1"/>
      <c r="B14">
        <v>3</v>
      </c>
    </row>
    <row r="15" spans="1:19" x14ac:dyDescent="0.3">
      <c r="B15">
        <v>3</v>
      </c>
    </row>
    <row r="16" spans="1:19" x14ac:dyDescent="0.3">
      <c r="B16">
        <v>3</v>
      </c>
    </row>
    <row r="17" spans="2:7" x14ac:dyDescent="0.3">
      <c r="B17">
        <v>2</v>
      </c>
    </row>
    <row r="19" spans="2:7" x14ac:dyDescent="0.3">
      <c r="B19" s="2"/>
      <c r="C19" s="2"/>
      <c r="D19" s="2"/>
      <c r="E19" s="2"/>
      <c r="G19" t="s">
        <v>20</v>
      </c>
    </row>
    <row r="20" spans="2:7" x14ac:dyDescent="0.3">
      <c r="B20" s="5">
        <f>AVERAGE(B2:B18)</f>
        <v>3.125</v>
      </c>
      <c r="C20" s="5">
        <f t="shared" ref="C20:E20" si="0">AVERAGE(C2:C18)</f>
        <v>2.5</v>
      </c>
      <c r="D20" s="5">
        <f t="shared" si="0"/>
        <v>3.2727272727272729</v>
      </c>
      <c r="E20" s="5">
        <f t="shared" si="0"/>
        <v>3</v>
      </c>
      <c r="G20" s="6">
        <f>AVERAGE(B20:E20)</f>
        <v>2.9744318181818183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43375-1B99-40DD-AD5B-99775F2AC877}">
  <dimension ref="A1:S15"/>
  <sheetViews>
    <sheetView zoomScale="66" workbookViewId="0">
      <selection activeCell="S3" sqref="S3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2</v>
      </c>
      <c r="C2">
        <v>3</v>
      </c>
      <c r="D2">
        <v>4</v>
      </c>
      <c r="E2">
        <v>5</v>
      </c>
      <c r="M2" s="1" t="s">
        <v>7</v>
      </c>
      <c r="N2" s="2"/>
      <c r="O2" s="2"/>
      <c r="P2" s="2"/>
      <c r="Q2" s="2">
        <v>1</v>
      </c>
      <c r="S2" s="4">
        <f>SUM(N1:Q6)</f>
        <v>1</v>
      </c>
    </row>
    <row r="3" spans="1:19" x14ac:dyDescent="0.3">
      <c r="A3" s="1" t="s">
        <v>8</v>
      </c>
      <c r="B3">
        <v>3</v>
      </c>
      <c r="C3">
        <v>3</v>
      </c>
      <c r="D3">
        <v>4</v>
      </c>
      <c r="E3">
        <v>6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2</v>
      </c>
      <c r="C4">
        <v>2</v>
      </c>
      <c r="D4">
        <v>2</v>
      </c>
      <c r="E4">
        <v>2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3</v>
      </c>
      <c r="D5">
        <v>2</v>
      </c>
      <c r="E5">
        <v>2</v>
      </c>
      <c r="M5" s="1" t="s">
        <v>11</v>
      </c>
      <c r="N5" s="2"/>
      <c r="O5" s="2"/>
      <c r="P5" s="2"/>
      <c r="Q5" s="2"/>
    </row>
    <row r="6" spans="1:19" x14ac:dyDescent="0.3">
      <c r="A6" s="1"/>
      <c r="B6">
        <v>2</v>
      </c>
      <c r="D6">
        <v>1</v>
      </c>
      <c r="E6">
        <v>1</v>
      </c>
      <c r="M6" s="1" t="s">
        <v>12</v>
      </c>
      <c r="N6" s="2"/>
      <c r="O6" s="2"/>
      <c r="P6" s="2"/>
      <c r="Q6" s="2"/>
    </row>
    <row r="7" spans="1:19" x14ac:dyDescent="0.3">
      <c r="A7" s="1"/>
      <c r="B7">
        <v>2</v>
      </c>
      <c r="D7">
        <v>1</v>
      </c>
      <c r="E7">
        <v>1</v>
      </c>
    </row>
    <row r="8" spans="1:19" x14ac:dyDescent="0.3">
      <c r="A8" s="1"/>
      <c r="B8">
        <v>2</v>
      </c>
      <c r="D8">
        <v>2</v>
      </c>
      <c r="E8">
        <v>2</v>
      </c>
      <c r="M8" s="1" t="s">
        <v>13</v>
      </c>
      <c r="N8" s="2"/>
      <c r="O8" s="2"/>
      <c r="P8" s="2"/>
      <c r="Q8" s="2"/>
      <c r="S8" t="s">
        <v>14</v>
      </c>
    </row>
    <row r="9" spans="1:19" x14ac:dyDescent="0.3">
      <c r="A9" s="1"/>
      <c r="B9">
        <v>1</v>
      </c>
      <c r="E9">
        <v>1</v>
      </c>
      <c r="M9" s="1" t="s">
        <v>15</v>
      </c>
      <c r="N9" s="2"/>
      <c r="O9" s="2"/>
      <c r="P9" s="2"/>
      <c r="Q9" s="2"/>
      <c r="S9" s="4">
        <f>SUM(N8:Q13)</f>
        <v>24</v>
      </c>
    </row>
    <row r="10" spans="1:19" x14ac:dyDescent="0.3">
      <c r="A10" s="1"/>
      <c r="B10">
        <v>4</v>
      </c>
      <c r="E10">
        <v>1</v>
      </c>
      <c r="M10" s="1" t="s">
        <v>16</v>
      </c>
      <c r="N10" s="2"/>
      <c r="O10" s="2"/>
      <c r="P10" s="2"/>
      <c r="Q10" s="2"/>
    </row>
    <row r="11" spans="1:19" x14ac:dyDescent="0.3">
      <c r="A11" s="1"/>
      <c r="E11">
        <v>3</v>
      </c>
      <c r="M11" s="1" t="s">
        <v>17</v>
      </c>
      <c r="N11" s="2"/>
      <c r="O11" s="2"/>
      <c r="P11" s="2"/>
      <c r="Q11" s="2"/>
    </row>
    <row r="12" spans="1:19" x14ac:dyDescent="0.3">
      <c r="A12" s="1"/>
      <c r="M12" s="1" t="s">
        <v>18</v>
      </c>
      <c r="N12" s="2"/>
      <c r="O12" s="2"/>
      <c r="P12" s="2"/>
      <c r="Q12" s="2"/>
    </row>
    <row r="13" spans="1:19" x14ac:dyDescent="0.3">
      <c r="A13" s="1"/>
      <c r="M13" s="1" t="s">
        <v>19</v>
      </c>
      <c r="N13" s="2">
        <v>10</v>
      </c>
      <c r="O13" s="2">
        <v>7</v>
      </c>
      <c r="P13" s="2">
        <v>5</v>
      </c>
      <c r="Q13" s="2">
        <v>2</v>
      </c>
    </row>
    <row r="14" spans="1:19" x14ac:dyDescent="0.3">
      <c r="A14" s="1"/>
      <c r="B14" s="2"/>
      <c r="C14" s="2"/>
      <c r="D14" s="2"/>
      <c r="E14" s="2"/>
      <c r="G14" t="s">
        <v>20</v>
      </c>
    </row>
    <row r="15" spans="1:19" x14ac:dyDescent="0.3">
      <c r="B15" s="5">
        <f>AVERAGE(B2:B13)</f>
        <v>2.3333333333333335</v>
      </c>
      <c r="C15" s="5">
        <f t="shared" ref="C15:E15" si="0">AVERAGE(C2:C13)</f>
        <v>2.6666666666666665</v>
      </c>
      <c r="D15" s="5">
        <f t="shared" si="0"/>
        <v>2.2857142857142856</v>
      </c>
      <c r="E15" s="5">
        <f t="shared" si="0"/>
        <v>2.4</v>
      </c>
      <c r="G15" s="6">
        <f>AVERAGE(B15:E15)</f>
        <v>2.4214285714285713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F3BFD-9F71-4A8B-9C95-CB67EFFF4F3F}">
  <dimension ref="A1:S14"/>
  <sheetViews>
    <sheetView zoomScale="123" workbookViewId="0">
      <selection activeCell="S3" sqref="S3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2</v>
      </c>
      <c r="C2">
        <v>2</v>
      </c>
      <c r="D2">
        <v>2</v>
      </c>
      <c r="E2">
        <v>2</v>
      </c>
      <c r="M2" s="1" t="s">
        <v>7</v>
      </c>
      <c r="N2" s="2"/>
      <c r="O2" s="2"/>
      <c r="P2" s="2"/>
      <c r="Q2" s="2">
        <v>1</v>
      </c>
      <c r="S2" s="4">
        <f>SUM(N1:Q6)</f>
        <v>1</v>
      </c>
    </row>
    <row r="3" spans="1:19" x14ac:dyDescent="0.3">
      <c r="A3" s="1" t="s">
        <v>8</v>
      </c>
      <c r="B3">
        <v>2</v>
      </c>
      <c r="C3">
        <v>2</v>
      </c>
      <c r="E3">
        <v>2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2</v>
      </c>
      <c r="C4">
        <v>1</v>
      </c>
      <c r="E4">
        <v>2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1</v>
      </c>
      <c r="C5">
        <v>2</v>
      </c>
      <c r="E5">
        <v>2</v>
      </c>
      <c r="M5" s="1" t="s">
        <v>11</v>
      </c>
      <c r="N5" s="2"/>
      <c r="O5" s="2"/>
      <c r="P5" s="2"/>
      <c r="Q5" s="2"/>
    </row>
    <row r="6" spans="1:19" x14ac:dyDescent="0.3">
      <c r="A6" s="1"/>
      <c r="B6">
        <v>1</v>
      </c>
      <c r="C6">
        <v>3</v>
      </c>
      <c r="E6">
        <v>2</v>
      </c>
      <c r="M6" s="1" t="s">
        <v>12</v>
      </c>
      <c r="N6" s="2"/>
      <c r="O6" s="2"/>
      <c r="P6" s="2"/>
      <c r="Q6" s="2"/>
    </row>
    <row r="7" spans="1:19" x14ac:dyDescent="0.3">
      <c r="A7" s="1"/>
      <c r="E7">
        <v>2</v>
      </c>
    </row>
    <row r="8" spans="1:19" x14ac:dyDescent="0.3">
      <c r="A8" s="1"/>
      <c r="E8">
        <v>3</v>
      </c>
      <c r="M8" s="1" t="s">
        <v>13</v>
      </c>
      <c r="N8" s="2"/>
      <c r="O8" s="2"/>
      <c r="P8" s="2"/>
      <c r="Q8" s="2"/>
      <c r="S8" t="s">
        <v>14</v>
      </c>
    </row>
    <row r="9" spans="1:19" x14ac:dyDescent="0.3">
      <c r="A9" s="1"/>
      <c r="M9" s="1" t="s">
        <v>15</v>
      </c>
      <c r="N9" s="2"/>
      <c r="O9" s="2"/>
      <c r="P9" s="2"/>
      <c r="Q9" s="2"/>
      <c r="S9" s="4">
        <f>SUM(N8:Q13)</f>
        <v>11</v>
      </c>
    </row>
    <row r="10" spans="1:19" x14ac:dyDescent="0.3">
      <c r="A10" s="1"/>
      <c r="B10" s="2"/>
      <c r="C10" s="2"/>
      <c r="D10" s="2"/>
      <c r="E10" s="2"/>
      <c r="G10" t="s">
        <v>20</v>
      </c>
      <c r="M10" s="1" t="s">
        <v>16</v>
      </c>
      <c r="N10" s="2"/>
      <c r="O10" s="2"/>
      <c r="P10" s="2"/>
      <c r="Q10" s="2"/>
    </row>
    <row r="11" spans="1:19" x14ac:dyDescent="0.3">
      <c r="A11" s="1"/>
      <c r="B11" s="5">
        <f>AVERAGE(B2:B9)</f>
        <v>1.6</v>
      </c>
      <c r="C11" s="5">
        <f t="shared" ref="C11:E11" si="0">AVERAGE(C2:C9)</f>
        <v>2</v>
      </c>
      <c r="D11" s="5">
        <f t="shared" si="0"/>
        <v>2</v>
      </c>
      <c r="E11" s="5">
        <f t="shared" si="0"/>
        <v>2.1428571428571428</v>
      </c>
      <c r="G11" s="6">
        <f>AVERAGE(B11:E11)</f>
        <v>1.9357142857142855</v>
      </c>
      <c r="M11" s="1" t="s">
        <v>17</v>
      </c>
      <c r="N11" s="2"/>
      <c r="O11" s="2"/>
      <c r="P11" s="2"/>
      <c r="Q11" s="2"/>
    </row>
    <row r="12" spans="1:19" x14ac:dyDescent="0.3">
      <c r="A12" s="1"/>
      <c r="M12" s="1" t="s">
        <v>18</v>
      </c>
      <c r="N12" s="2"/>
      <c r="O12" s="2"/>
      <c r="P12" s="2"/>
      <c r="Q12" s="2"/>
    </row>
    <row r="13" spans="1:19" x14ac:dyDescent="0.3">
      <c r="A13" s="1"/>
      <c r="M13" s="1" t="s">
        <v>19</v>
      </c>
      <c r="N13" s="2">
        <v>3</v>
      </c>
      <c r="O13" s="2">
        <v>5</v>
      </c>
      <c r="P13" s="2"/>
      <c r="Q13" s="2">
        <v>3</v>
      </c>
    </row>
    <row r="14" spans="1:19" x14ac:dyDescent="0.3">
      <c r="A14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93724-C800-4EBD-836E-902B9F4160CF}">
  <dimension ref="A1:S22"/>
  <sheetViews>
    <sheetView zoomScale="59" workbookViewId="0">
      <selection activeCell="S3" sqref="S3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5</v>
      </c>
      <c r="C2">
        <v>2</v>
      </c>
      <c r="D2">
        <v>3</v>
      </c>
      <c r="E2">
        <v>4</v>
      </c>
      <c r="M2" s="1" t="s">
        <v>7</v>
      </c>
      <c r="N2" s="2"/>
      <c r="O2" s="2"/>
      <c r="P2" s="2"/>
      <c r="Q2" s="2"/>
      <c r="S2" s="4">
        <f>SUM(N1:Q6)</f>
        <v>1</v>
      </c>
    </row>
    <row r="3" spans="1:19" x14ac:dyDescent="0.3">
      <c r="A3" s="1" t="s">
        <v>8</v>
      </c>
      <c r="C3">
        <v>2</v>
      </c>
      <c r="D3">
        <v>3</v>
      </c>
      <c r="E3">
        <v>3</v>
      </c>
      <c r="M3" s="1" t="s">
        <v>9</v>
      </c>
      <c r="N3" s="2"/>
      <c r="O3" s="2"/>
      <c r="P3" s="2"/>
      <c r="Q3" s="2"/>
    </row>
    <row r="4" spans="1:19" x14ac:dyDescent="0.3">
      <c r="A4" s="1"/>
      <c r="C4">
        <v>2</v>
      </c>
      <c r="D4">
        <v>3</v>
      </c>
      <c r="E4">
        <v>3</v>
      </c>
      <c r="M4" s="1" t="s">
        <v>10</v>
      </c>
      <c r="N4" s="2"/>
      <c r="O4" s="2"/>
      <c r="P4" s="2"/>
      <c r="Q4" s="2"/>
    </row>
    <row r="5" spans="1:19" x14ac:dyDescent="0.3">
      <c r="A5" s="1"/>
      <c r="C5">
        <v>6</v>
      </c>
      <c r="D5">
        <v>3</v>
      </c>
      <c r="E5">
        <v>3</v>
      </c>
      <c r="M5" s="1" t="s">
        <v>11</v>
      </c>
      <c r="N5" s="2"/>
      <c r="O5" s="2"/>
      <c r="P5" s="2"/>
      <c r="Q5" s="2"/>
    </row>
    <row r="6" spans="1:19" x14ac:dyDescent="0.3">
      <c r="A6" s="1"/>
      <c r="C6">
        <v>6</v>
      </c>
      <c r="D6">
        <v>2</v>
      </c>
      <c r="E6">
        <v>4</v>
      </c>
      <c r="M6" s="1" t="s">
        <v>12</v>
      </c>
      <c r="N6" s="2"/>
      <c r="O6" s="2">
        <v>1</v>
      </c>
      <c r="P6" s="2"/>
      <c r="Q6" s="2"/>
    </row>
    <row r="7" spans="1:19" x14ac:dyDescent="0.3">
      <c r="A7" s="1"/>
      <c r="C7">
        <v>6</v>
      </c>
      <c r="D7">
        <v>3</v>
      </c>
      <c r="E7">
        <v>3</v>
      </c>
    </row>
    <row r="8" spans="1:19" x14ac:dyDescent="0.3">
      <c r="A8" s="1"/>
      <c r="C8">
        <v>6</v>
      </c>
      <c r="D8">
        <v>3</v>
      </c>
      <c r="E8">
        <v>3</v>
      </c>
      <c r="M8" s="1" t="s">
        <v>13</v>
      </c>
      <c r="N8" s="2"/>
      <c r="O8" s="2"/>
      <c r="P8" s="2"/>
      <c r="Q8" s="2"/>
      <c r="S8" t="s">
        <v>14</v>
      </c>
    </row>
    <row r="9" spans="1:19" x14ac:dyDescent="0.3">
      <c r="A9" s="1"/>
      <c r="C9">
        <v>6</v>
      </c>
      <c r="D9">
        <v>3</v>
      </c>
      <c r="E9">
        <v>3</v>
      </c>
      <c r="M9" s="1" t="s">
        <v>15</v>
      </c>
      <c r="N9" s="2"/>
      <c r="O9" s="2"/>
      <c r="P9" s="2"/>
      <c r="Q9" s="2"/>
      <c r="S9" s="4">
        <f>SUM(N8:Q13)</f>
        <v>27</v>
      </c>
    </row>
    <row r="10" spans="1:19" x14ac:dyDescent="0.3">
      <c r="A10" s="1"/>
      <c r="C10">
        <v>6</v>
      </c>
      <c r="D10">
        <v>3</v>
      </c>
      <c r="E10">
        <v>3</v>
      </c>
      <c r="M10" s="1" t="s">
        <v>16</v>
      </c>
      <c r="N10" s="2"/>
      <c r="O10" s="2"/>
      <c r="P10" s="2"/>
      <c r="Q10" s="2"/>
    </row>
    <row r="11" spans="1:19" x14ac:dyDescent="0.3">
      <c r="A11" s="1"/>
      <c r="C11">
        <v>6</v>
      </c>
      <c r="D11">
        <v>3</v>
      </c>
      <c r="E11">
        <v>3</v>
      </c>
      <c r="M11" s="1" t="s">
        <v>17</v>
      </c>
      <c r="N11" s="2"/>
      <c r="O11" s="2"/>
      <c r="P11" s="2"/>
      <c r="Q11" s="2">
        <v>1</v>
      </c>
    </row>
    <row r="12" spans="1:19" x14ac:dyDescent="0.3">
      <c r="A12" s="1"/>
      <c r="C12">
        <v>4</v>
      </c>
      <c r="D12">
        <v>3</v>
      </c>
      <c r="E12">
        <v>3</v>
      </c>
      <c r="M12" s="1" t="s">
        <v>18</v>
      </c>
      <c r="N12" s="2">
        <v>1</v>
      </c>
      <c r="O12" s="2"/>
      <c r="P12" s="2"/>
      <c r="Q12" s="2"/>
    </row>
    <row r="13" spans="1:19" x14ac:dyDescent="0.3">
      <c r="A13" s="1"/>
      <c r="C13">
        <v>2</v>
      </c>
      <c r="D13">
        <v>2</v>
      </c>
      <c r="E13">
        <v>3</v>
      </c>
      <c r="M13" s="1" t="s">
        <v>19</v>
      </c>
      <c r="N13" s="2">
        <v>9</v>
      </c>
      <c r="O13" s="2">
        <v>3</v>
      </c>
      <c r="P13" s="2">
        <v>7</v>
      </c>
      <c r="Q13" s="2">
        <v>6</v>
      </c>
    </row>
    <row r="14" spans="1:19" x14ac:dyDescent="0.3">
      <c r="A14" s="1"/>
      <c r="D14">
        <v>2</v>
      </c>
      <c r="E14">
        <v>3</v>
      </c>
    </row>
    <row r="15" spans="1:19" x14ac:dyDescent="0.3">
      <c r="D15">
        <v>1</v>
      </c>
      <c r="E15">
        <v>2</v>
      </c>
    </row>
    <row r="16" spans="1:19" x14ac:dyDescent="0.3">
      <c r="D16">
        <v>2</v>
      </c>
      <c r="E16">
        <v>6</v>
      </c>
    </row>
    <row r="17" spans="2:7" x14ac:dyDescent="0.3">
      <c r="E17">
        <v>2</v>
      </c>
    </row>
    <row r="18" spans="2:7" x14ac:dyDescent="0.3">
      <c r="E18">
        <v>2</v>
      </c>
    </row>
    <row r="19" spans="2:7" x14ac:dyDescent="0.3">
      <c r="E19">
        <v>2</v>
      </c>
    </row>
    <row r="20" spans="2:7" x14ac:dyDescent="0.3">
      <c r="E20">
        <v>2</v>
      </c>
    </row>
    <row r="21" spans="2:7" x14ac:dyDescent="0.3">
      <c r="B21" s="2"/>
      <c r="C21" s="2"/>
      <c r="D21" s="2"/>
      <c r="E21" s="2"/>
      <c r="G21" t="s">
        <v>20</v>
      </c>
    </row>
    <row r="22" spans="2:7" x14ac:dyDescent="0.3">
      <c r="B22" s="5">
        <f>AVERAGE(B2:B20)</f>
        <v>5</v>
      </c>
      <c r="C22" s="5">
        <f t="shared" ref="C22:E22" si="0">AVERAGE(C2:C20)</f>
        <v>4.5</v>
      </c>
      <c r="D22" s="5">
        <f t="shared" si="0"/>
        <v>2.6</v>
      </c>
      <c r="E22" s="5">
        <f t="shared" si="0"/>
        <v>3</v>
      </c>
      <c r="G22" s="6">
        <f>AVERAGE(B22:E22)</f>
        <v>3.7749999999999999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3EFE3-9CB1-4B10-9AB8-0671DF3545C7}">
  <dimension ref="A1:S25"/>
  <sheetViews>
    <sheetView zoomScale="83" workbookViewId="0">
      <selection activeCell="E26" sqref="E26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3</v>
      </c>
      <c r="C2">
        <v>3</v>
      </c>
      <c r="D2">
        <v>6</v>
      </c>
      <c r="M2" s="1" t="s">
        <v>7</v>
      </c>
      <c r="N2" s="2"/>
      <c r="O2" s="2"/>
      <c r="P2" s="2"/>
      <c r="Q2" s="2"/>
      <c r="S2" s="4">
        <v>0</v>
      </c>
    </row>
    <row r="3" spans="1:19" x14ac:dyDescent="0.3">
      <c r="A3" s="1" t="s">
        <v>8</v>
      </c>
      <c r="B3">
        <v>3</v>
      </c>
      <c r="C3">
        <v>3</v>
      </c>
      <c r="D3">
        <v>4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4</v>
      </c>
      <c r="C4">
        <v>3</v>
      </c>
      <c r="D4">
        <v>3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3</v>
      </c>
      <c r="C5">
        <v>3</v>
      </c>
      <c r="D5">
        <v>3</v>
      </c>
      <c r="M5" s="1" t="s">
        <v>11</v>
      </c>
      <c r="N5" s="2"/>
      <c r="O5" s="2"/>
      <c r="P5" s="2"/>
      <c r="Q5" s="2"/>
    </row>
    <row r="6" spans="1:19" x14ac:dyDescent="0.3">
      <c r="A6" s="1"/>
      <c r="B6">
        <v>4</v>
      </c>
      <c r="C6">
        <v>3</v>
      </c>
      <c r="D6">
        <v>4</v>
      </c>
      <c r="M6" s="1" t="s">
        <v>12</v>
      </c>
      <c r="N6" s="2"/>
      <c r="O6" s="2"/>
      <c r="P6" s="2"/>
      <c r="Q6" s="2"/>
    </row>
    <row r="7" spans="1:19" x14ac:dyDescent="0.3">
      <c r="A7" s="1"/>
      <c r="B7">
        <v>4</v>
      </c>
      <c r="C7">
        <v>3</v>
      </c>
      <c r="D7">
        <v>3</v>
      </c>
    </row>
    <row r="8" spans="1:19" x14ac:dyDescent="0.3">
      <c r="A8" s="1"/>
      <c r="B8">
        <v>5</v>
      </c>
      <c r="C8">
        <v>3</v>
      </c>
      <c r="D8">
        <v>3</v>
      </c>
      <c r="M8" s="1" t="s">
        <v>13</v>
      </c>
      <c r="N8" s="2"/>
      <c r="O8" s="2"/>
      <c r="P8" s="2"/>
      <c r="Q8" s="2"/>
      <c r="S8" t="s">
        <v>14</v>
      </c>
    </row>
    <row r="9" spans="1:19" x14ac:dyDescent="0.3">
      <c r="A9" s="1"/>
      <c r="B9">
        <v>5</v>
      </c>
      <c r="C9">
        <v>3</v>
      </c>
      <c r="D9">
        <v>2</v>
      </c>
      <c r="M9" s="1" t="s">
        <v>15</v>
      </c>
      <c r="N9" s="2"/>
      <c r="O9" s="2"/>
      <c r="P9" s="2"/>
      <c r="Q9" s="2"/>
      <c r="S9" s="4">
        <f>SUM(N8:Q13)</f>
        <v>22</v>
      </c>
    </row>
    <row r="10" spans="1:19" x14ac:dyDescent="0.3">
      <c r="A10" s="1"/>
      <c r="C10">
        <v>3</v>
      </c>
      <c r="D10">
        <v>2</v>
      </c>
      <c r="M10" s="1" t="s">
        <v>16</v>
      </c>
      <c r="N10" s="2"/>
      <c r="O10" s="2"/>
      <c r="P10" s="2"/>
      <c r="Q10" s="2"/>
    </row>
    <row r="11" spans="1:19" x14ac:dyDescent="0.3">
      <c r="A11" s="1"/>
      <c r="C11">
        <v>3</v>
      </c>
      <c r="D11">
        <v>3</v>
      </c>
      <c r="M11" s="1" t="s">
        <v>17</v>
      </c>
      <c r="N11" s="2"/>
      <c r="O11" s="2"/>
      <c r="P11" s="2"/>
      <c r="Q11" s="2">
        <v>3</v>
      </c>
    </row>
    <row r="12" spans="1:19" x14ac:dyDescent="0.3">
      <c r="A12" s="1"/>
      <c r="C12">
        <v>4</v>
      </c>
      <c r="D12">
        <v>2</v>
      </c>
      <c r="M12" s="1" t="s">
        <v>18</v>
      </c>
      <c r="N12" s="2"/>
      <c r="O12" s="2"/>
      <c r="P12" s="2"/>
      <c r="Q12" s="2"/>
    </row>
    <row r="13" spans="1:19" x14ac:dyDescent="0.3">
      <c r="A13" s="1"/>
      <c r="C13">
        <v>3</v>
      </c>
      <c r="D13">
        <v>4</v>
      </c>
      <c r="M13" s="1" t="s">
        <v>19</v>
      </c>
      <c r="N13" s="2">
        <v>3</v>
      </c>
      <c r="O13" s="2">
        <v>5</v>
      </c>
      <c r="P13" s="2">
        <v>5</v>
      </c>
      <c r="Q13" s="2">
        <v>6</v>
      </c>
    </row>
    <row r="14" spans="1:19" x14ac:dyDescent="0.3">
      <c r="A14" s="1"/>
      <c r="C14">
        <v>3</v>
      </c>
      <c r="D14">
        <v>4</v>
      </c>
    </row>
    <row r="15" spans="1:19" x14ac:dyDescent="0.3">
      <c r="C15">
        <v>4</v>
      </c>
    </row>
    <row r="16" spans="1:19" x14ac:dyDescent="0.3">
      <c r="C16">
        <v>4</v>
      </c>
    </row>
    <row r="17" spans="2:7" x14ac:dyDescent="0.3">
      <c r="C17">
        <v>3</v>
      </c>
    </row>
    <row r="18" spans="2:7" x14ac:dyDescent="0.3">
      <c r="C18">
        <v>2</v>
      </c>
    </row>
    <row r="19" spans="2:7" x14ac:dyDescent="0.3">
      <c r="C19">
        <v>2</v>
      </c>
    </row>
    <row r="20" spans="2:7" x14ac:dyDescent="0.3">
      <c r="C20">
        <v>2</v>
      </c>
    </row>
    <row r="21" spans="2:7" x14ac:dyDescent="0.3">
      <c r="C21">
        <v>3</v>
      </c>
    </row>
    <row r="22" spans="2:7" x14ac:dyDescent="0.3">
      <c r="C22">
        <v>3</v>
      </c>
    </row>
    <row r="24" spans="2:7" x14ac:dyDescent="0.3">
      <c r="B24" s="2"/>
      <c r="C24" s="2"/>
      <c r="D24" s="2"/>
      <c r="E24" s="2"/>
      <c r="G24" t="s">
        <v>20</v>
      </c>
    </row>
    <row r="25" spans="2:7" x14ac:dyDescent="0.3">
      <c r="B25" s="5">
        <f>AVERAGE(B2:B23)</f>
        <v>3.875</v>
      </c>
      <c r="C25" s="5">
        <f t="shared" ref="C25:D25" si="0">AVERAGE(C2:C23)</f>
        <v>3</v>
      </c>
      <c r="D25" s="5">
        <f t="shared" si="0"/>
        <v>3.3076923076923075</v>
      </c>
      <c r="E25" s="5"/>
      <c r="G25" s="6">
        <f>AVERAGE(B25:E25)</f>
        <v>3.3942307692307687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078E-54DB-4C9C-854F-638251931517}">
  <dimension ref="A1:S16"/>
  <sheetViews>
    <sheetView zoomScale="65" workbookViewId="0">
      <selection activeCell="S3" sqref="S3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4</v>
      </c>
      <c r="C2">
        <v>4</v>
      </c>
      <c r="D2">
        <v>4</v>
      </c>
      <c r="E2">
        <v>5</v>
      </c>
      <c r="M2" s="1" t="s">
        <v>7</v>
      </c>
      <c r="N2" s="2">
        <v>1</v>
      </c>
      <c r="O2" s="2"/>
      <c r="P2" s="2"/>
      <c r="Q2" s="2"/>
      <c r="S2" s="4">
        <f>SUM(N1:Q6)</f>
        <v>1</v>
      </c>
    </row>
    <row r="3" spans="1:19" x14ac:dyDescent="0.3">
      <c r="A3" s="1" t="s">
        <v>8</v>
      </c>
      <c r="B3">
        <v>2</v>
      </c>
      <c r="C3">
        <v>3</v>
      </c>
      <c r="D3">
        <v>4</v>
      </c>
      <c r="E3">
        <v>4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3</v>
      </c>
      <c r="C4">
        <v>5</v>
      </c>
      <c r="D4">
        <v>4</v>
      </c>
      <c r="E4">
        <v>5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5</v>
      </c>
      <c r="C5">
        <v>4</v>
      </c>
      <c r="D5">
        <v>4</v>
      </c>
      <c r="E5">
        <v>5</v>
      </c>
      <c r="M5" s="1" t="s">
        <v>11</v>
      </c>
      <c r="N5" s="2"/>
      <c r="O5" s="2"/>
      <c r="P5" s="2"/>
      <c r="Q5" s="2"/>
    </row>
    <row r="6" spans="1:19" x14ac:dyDescent="0.3">
      <c r="A6" s="1"/>
      <c r="B6">
        <v>4</v>
      </c>
      <c r="C6">
        <v>2</v>
      </c>
      <c r="D6">
        <v>4</v>
      </c>
      <c r="E6">
        <v>3</v>
      </c>
      <c r="M6" s="1" t="s">
        <v>12</v>
      </c>
      <c r="N6" s="2"/>
      <c r="O6" s="2"/>
      <c r="P6" s="2"/>
      <c r="Q6" s="2"/>
    </row>
    <row r="7" spans="1:19" x14ac:dyDescent="0.3">
      <c r="A7" s="1"/>
      <c r="C7">
        <v>4</v>
      </c>
      <c r="D7">
        <v>4</v>
      </c>
      <c r="E7">
        <v>3</v>
      </c>
    </row>
    <row r="8" spans="1:19" x14ac:dyDescent="0.3">
      <c r="A8" s="1"/>
      <c r="C8">
        <v>3</v>
      </c>
      <c r="D8">
        <v>4</v>
      </c>
      <c r="E8">
        <v>3</v>
      </c>
      <c r="M8" s="1" t="s">
        <v>13</v>
      </c>
      <c r="N8" s="2"/>
      <c r="O8" s="2"/>
      <c r="P8" s="2"/>
      <c r="Q8" s="2"/>
      <c r="S8" t="s">
        <v>14</v>
      </c>
    </row>
    <row r="9" spans="1:19" x14ac:dyDescent="0.3">
      <c r="A9" s="1"/>
      <c r="C9">
        <v>2</v>
      </c>
      <c r="D9">
        <v>4</v>
      </c>
      <c r="M9" s="1" t="s">
        <v>15</v>
      </c>
      <c r="N9" s="2"/>
      <c r="O9" s="2"/>
      <c r="P9" s="2"/>
      <c r="Q9" s="2"/>
      <c r="S9" s="4">
        <f>SUM(N8:Q13)</f>
        <v>20</v>
      </c>
    </row>
    <row r="10" spans="1:19" x14ac:dyDescent="0.3">
      <c r="A10" s="1"/>
      <c r="D10">
        <v>3</v>
      </c>
      <c r="M10" s="1" t="s">
        <v>16</v>
      </c>
      <c r="N10" s="2"/>
      <c r="O10" s="2"/>
      <c r="P10" s="2"/>
      <c r="Q10" s="2"/>
    </row>
    <row r="11" spans="1:19" x14ac:dyDescent="0.3">
      <c r="A11" s="1"/>
      <c r="D11">
        <v>1</v>
      </c>
      <c r="M11" s="1" t="s">
        <v>17</v>
      </c>
      <c r="N11" s="2"/>
      <c r="O11" s="2">
        <v>1</v>
      </c>
      <c r="P11" s="2"/>
      <c r="Q11" s="2"/>
    </row>
    <row r="12" spans="1:19" x14ac:dyDescent="0.3">
      <c r="A12" s="1"/>
      <c r="D12">
        <v>3</v>
      </c>
      <c r="M12" s="1" t="s">
        <v>18</v>
      </c>
      <c r="N12" s="2"/>
      <c r="O12" s="2"/>
      <c r="P12" s="2"/>
      <c r="Q12" s="2"/>
    </row>
    <row r="13" spans="1:19" x14ac:dyDescent="0.3">
      <c r="A13" s="1"/>
      <c r="D13">
        <v>2</v>
      </c>
      <c r="M13" s="1" t="s">
        <v>19</v>
      </c>
      <c r="N13" s="2">
        <v>3</v>
      </c>
      <c r="O13" s="2">
        <v>8</v>
      </c>
      <c r="P13" s="2">
        <v>5</v>
      </c>
      <c r="Q13" s="2">
        <v>3</v>
      </c>
    </row>
    <row r="14" spans="1:19" x14ac:dyDescent="0.3">
      <c r="A14" s="1"/>
    </row>
    <row r="15" spans="1:19" x14ac:dyDescent="0.3">
      <c r="B15" s="2"/>
      <c r="C15" s="2"/>
      <c r="D15" s="2"/>
      <c r="E15" s="2"/>
      <c r="G15" t="s">
        <v>20</v>
      </c>
    </row>
    <row r="16" spans="1:19" x14ac:dyDescent="0.3">
      <c r="B16" s="5">
        <f>AVERAGE(B2:B14)</f>
        <v>3.6</v>
      </c>
      <c r="C16" s="5">
        <f t="shared" ref="C16:E16" si="0">AVERAGE(C2:C14)</f>
        <v>3.375</v>
      </c>
      <c r="D16" s="5">
        <f t="shared" si="0"/>
        <v>3.4166666666666665</v>
      </c>
      <c r="E16" s="5">
        <f t="shared" si="0"/>
        <v>4</v>
      </c>
      <c r="G16" s="6">
        <f>AVERAGE(B16:E16)</f>
        <v>3.5979166666666664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4A0D8-2EBA-4EBB-87B9-460687CC3983}">
  <dimension ref="A1:S14"/>
  <sheetViews>
    <sheetView zoomScale="64" workbookViewId="0">
      <selection activeCell="G14" sqref="G14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2</v>
      </c>
      <c r="C2">
        <v>5</v>
      </c>
      <c r="D2">
        <v>2</v>
      </c>
      <c r="E2">
        <v>2</v>
      </c>
      <c r="M2" s="1" t="s">
        <v>7</v>
      </c>
      <c r="N2" s="2"/>
      <c r="O2" s="2"/>
      <c r="P2" s="2"/>
      <c r="Q2" s="2"/>
      <c r="S2" s="4">
        <v>0</v>
      </c>
    </row>
    <row r="3" spans="1:19" x14ac:dyDescent="0.3">
      <c r="A3" s="1" t="s">
        <v>8</v>
      </c>
      <c r="B3">
        <v>3</v>
      </c>
      <c r="C3">
        <v>3</v>
      </c>
      <c r="D3">
        <v>1</v>
      </c>
      <c r="E3">
        <v>2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3</v>
      </c>
      <c r="C4">
        <v>3</v>
      </c>
      <c r="D4">
        <v>1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5</v>
      </c>
      <c r="C5">
        <v>2</v>
      </c>
      <c r="D5">
        <v>3</v>
      </c>
      <c r="M5" s="1" t="s">
        <v>11</v>
      </c>
      <c r="N5" s="2"/>
      <c r="O5" s="2"/>
      <c r="P5" s="2"/>
      <c r="Q5" s="2"/>
    </row>
    <row r="6" spans="1:19" x14ac:dyDescent="0.3">
      <c r="A6" s="1"/>
      <c r="B6">
        <v>5</v>
      </c>
      <c r="C6">
        <v>3</v>
      </c>
      <c r="D6">
        <v>5</v>
      </c>
      <c r="M6" s="1" t="s">
        <v>12</v>
      </c>
      <c r="N6" s="2"/>
      <c r="O6" s="2"/>
      <c r="P6" s="2"/>
      <c r="Q6" s="2"/>
    </row>
    <row r="7" spans="1:19" x14ac:dyDescent="0.3">
      <c r="A7" s="1"/>
      <c r="B7">
        <v>3</v>
      </c>
      <c r="C7">
        <v>4</v>
      </c>
      <c r="D7">
        <v>2</v>
      </c>
    </row>
    <row r="8" spans="1:19" x14ac:dyDescent="0.3">
      <c r="A8" s="1"/>
      <c r="B8">
        <v>2</v>
      </c>
      <c r="C8">
        <v>5</v>
      </c>
      <c r="D8">
        <v>2</v>
      </c>
      <c r="M8" s="1" t="s">
        <v>13</v>
      </c>
      <c r="N8" s="2"/>
      <c r="O8" s="2"/>
      <c r="P8" s="2"/>
      <c r="Q8" s="2">
        <v>2</v>
      </c>
      <c r="S8" t="s">
        <v>14</v>
      </c>
    </row>
    <row r="9" spans="1:19" x14ac:dyDescent="0.3">
      <c r="A9" s="1"/>
      <c r="B9">
        <v>2</v>
      </c>
      <c r="C9">
        <v>4</v>
      </c>
      <c r="M9" s="1" t="s">
        <v>15</v>
      </c>
      <c r="N9" s="2"/>
      <c r="O9" s="2"/>
      <c r="P9" s="2"/>
      <c r="Q9" s="2"/>
      <c r="S9" s="4">
        <f>SUM(N8:Q13)</f>
        <v>21</v>
      </c>
    </row>
    <row r="10" spans="1:19" x14ac:dyDescent="0.3">
      <c r="A10" s="1"/>
      <c r="B10">
        <v>2</v>
      </c>
      <c r="M10" s="1" t="s">
        <v>16</v>
      </c>
      <c r="N10" s="2"/>
      <c r="O10" s="2"/>
      <c r="P10" s="2"/>
      <c r="Q10" s="2"/>
    </row>
    <row r="11" spans="1:19" x14ac:dyDescent="0.3">
      <c r="A11" s="1"/>
      <c r="M11" s="1" t="s">
        <v>17</v>
      </c>
      <c r="N11" s="2">
        <v>1</v>
      </c>
      <c r="O11" s="2"/>
      <c r="P11" s="2">
        <v>1</v>
      </c>
      <c r="Q11" s="2"/>
    </row>
    <row r="12" spans="1:19" x14ac:dyDescent="0.3">
      <c r="A12" s="1"/>
      <c r="M12" s="1" t="s">
        <v>18</v>
      </c>
      <c r="N12" s="2"/>
      <c r="O12" s="2"/>
      <c r="P12" s="2"/>
      <c r="Q12" s="2"/>
    </row>
    <row r="13" spans="1:19" x14ac:dyDescent="0.3">
      <c r="A13" s="1"/>
      <c r="B13" s="2"/>
      <c r="C13" s="2"/>
      <c r="D13" s="2"/>
      <c r="E13" s="2"/>
      <c r="G13" t="s">
        <v>20</v>
      </c>
      <c r="M13" s="1" t="s">
        <v>19</v>
      </c>
      <c r="N13" s="2">
        <v>1</v>
      </c>
      <c r="O13" s="2">
        <v>2</v>
      </c>
      <c r="P13" s="2">
        <v>2</v>
      </c>
      <c r="Q13" s="2">
        <v>12</v>
      </c>
    </row>
    <row r="14" spans="1:19" x14ac:dyDescent="0.3">
      <c r="A14" s="1"/>
      <c r="B14" s="5">
        <f>AVERAGE(B2:B12)</f>
        <v>3</v>
      </c>
      <c r="C14" s="5">
        <f t="shared" ref="C14:E14" si="0">AVERAGE(C2:C12)</f>
        <v>3.625</v>
      </c>
      <c r="D14" s="5">
        <f t="shared" si="0"/>
        <v>2.2857142857142856</v>
      </c>
      <c r="E14" s="5">
        <f t="shared" si="0"/>
        <v>2</v>
      </c>
      <c r="G14" s="6">
        <f>AVERAGE(B14:E14)</f>
        <v>2.7276785714285712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5CC88-3E12-409B-9954-9E5B328213BC}">
  <dimension ref="A1:S25"/>
  <sheetViews>
    <sheetView zoomScale="66" workbookViewId="0">
      <selection activeCell="S10" sqref="S10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2</v>
      </c>
      <c r="C2">
        <v>3</v>
      </c>
      <c r="D2">
        <v>4</v>
      </c>
      <c r="E2">
        <v>4</v>
      </c>
      <c r="M2" s="1" t="s">
        <v>7</v>
      </c>
      <c r="N2" s="2"/>
      <c r="O2" s="2"/>
      <c r="P2" s="2"/>
      <c r="Q2" s="2"/>
      <c r="S2" s="4">
        <v>0</v>
      </c>
    </row>
    <row r="3" spans="1:19" x14ac:dyDescent="0.3">
      <c r="A3" s="1" t="s">
        <v>8</v>
      </c>
      <c r="B3">
        <v>2</v>
      </c>
      <c r="C3">
        <v>3</v>
      </c>
      <c r="D3">
        <v>3</v>
      </c>
      <c r="E3">
        <v>4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2</v>
      </c>
      <c r="C4">
        <v>3</v>
      </c>
      <c r="D4">
        <v>3</v>
      </c>
      <c r="E4">
        <v>4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2</v>
      </c>
      <c r="C5">
        <v>3</v>
      </c>
      <c r="D5">
        <v>2</v>
      </c>
      <c r="E5">
        <v>3</v>
      </c>
      <c r="M5" s="1" t="s">
        <v>11</v>
      </c>
      <c r="N5" s="2"/>
      <c r="O5" s="2"/>
      <c r="P5" s="2"/>
      <c r="Q5" s="2"/>
    </row>
    <row r="6" spans="1:19" x14ac:dyDescent="0.3">
      <c r="A6" s="1"/>
      <c r="B6">
        <v>2</v>
      </c>
      <c r="C6">
        <v>2</v>
      </c>
      <c r="D6">
        <v>3</v>
      </c>
      <c r="E6">
        <v>6</v>
      </c>
      <c r="M6" s="1" t="s">
        <v>12</v>
      </c>
      <c r="N6" s="2"/>
      <c r="O6" s="2"/>
      <c r="P6" s="2"/>
      <c r="Q6" s="2"/>
    </row>
    <row r="7" spans="1:19" x14ac:dyDescent="0.3">
      <c r="A7" s="1"/>
      <c r="B7">
        <v>3</v>
      </c>
      <c r="C7">
        <v>2</v>
      </c>
      <c r="D7">
        <v>3</v>
      </c>
      <c r="E7">
        <v>6</v>
      </c>
    </row>
    <row r="8" spans="1:19" x14ac:dyDescent="0.3">
      <c r="A8" s="1"/>
      <c r="C8">
        <v>3</v>
      </c>
      <c r="D8">
        <v>3</v>
      </c>
      <c r="E8">
        <v>6</v>
      </c>
      <c r="M8" s="1" t="s">
        <v>13</v>
      </c>
      <c r="N8" s="2"/>
      <c r="O8" s="2"/>
      <c r="P8" s="2"/>
      <c r="Q8" s="2"/>
      <c r="S8" t="s">
        <v>14</v>
      </c>
    </row>
    <row r="9" spans="1:19" x14ac:dyDescent="0.3">
      <c r="A9" s="1"/>
      <c r="C9">
        <v>2</v>
      </c>
      <c r="D9">
        <v>3</v>
      </c>
      <c r="E9">
        <v>6</v>
      </c>
      <c r="M9" s="1" t="s">
        <v>15</v>
      </c>
      <c r="N9" s="2"/>
      <c r="O9" s="2">
        <v>1</v>
      </c>
      <c r="P9" s="2"/>
      <c r="Q9" s="2"/>
      <c r="S9" s="4">
        <f>SUM(N8:Q13)</f>
        <v>26</v>
      </c>
    </row>
    <row r="10" spans="1:19" x14ac:dyDescent="0.3">
      <c r="A10" s="1"/>
      <c r="C10">
        <v>2</v>
      </c>
      <c r="D10">
        <v>3</v>
      </c>
      <c r="E10">
        <v>6</v>
      </c>
      <c r="M10" s="1" t="s">
        <v>16</v>
      </c>
      <c r="N10" s="2"/>
      <c r="O10" s="2"/>
      <c r="P10" s="2"/>
      <c r="Q10" s="2"/>
    </row>
    <row r="11" spans="1:19" x14ac:dyDescent="0.3">
      <c r="A11" s="1"/>
      <c r="C11">
        <v>2</v>
      </c>
      <c r="D11">
        <v>3</v>
      </c>
      <c r="E11">
        <v>5</v>
      </c>
      <c r="M11" s="1" t="s">
        <v>17</v>
      </c>
      <c r="N11" s="2">
        <v>1</v>
      </c>
      <c r="O11" s="2"/>
      <c r="P11" s="2">
        <v>1</v>
      </c>
      <c r="Q11" s="2"/>
    </row>
    <row r="12" spans="1:19" x14ac:dyDescent="0.3">
      <c r="A12" s="1"/>
      <c r="C12">
        <v>2</v>
      </c>
      <c r="D12">
        <v>3</v>
      </c>
      <c r="E12">
        <v>6</v>
      </c>
      <c r="M12" s="1" t="s">
        <v>18</v>
      </c>
      <c r="N12" s="2">
        <v>1</v>
      </c>
      <c r="O12" s="2"/>
      <c r="P12" s="2"/>
      <c r="Q12" s="2"/>
    </row>
    <row r="13" spans="1:19" x14ac:dyDescent="0.3">
      <c r="A13" s="1"/>
      <c r="C13">
        <v>2</v>
      </c>
      <c r="D13">
        <v>2</v>
      </c>
      <c r="E13">
        <v>5</v>
      </c>
      <c r="M13" s="1" t="s">
        <v>19</v>
      </c>
      <c r="N13" s="2">
        <v>6</v>
      </c>
      <c r="O13" s="2"/>
      <c r="P13" s="2">
        <v>8</v>
      </c>
      <c r="Q13" s="2">
        <v>8</v>
      </c>
    </row>
    <row r="14" spans="1:19" x14ac:dyDescent="0.3">
      <c r="A14" s="1"/>
      <c r="C14">
        <v>4</v>
      </c>
      <c r="D14">
        <v>2</v>
      </c>
      <c r="E14">
        <v>2</v>
      </c>
    </row>
    <row r="15" spans="1:19" x14ac:dyDescent="0.3">
      <c r="D15">
        <v>2</v>
      </c>
      <c r="E15">
        <v>2</v>
      </c>
    </row>
    <row r="16" spans="1:19" x14ac:dyDescent="0.3">
      <c r="D16">
        <v>3</v>
      </c>
      <c r="E16">
        <v>3</v>
      </c>
    </row>
    <row r="17" spans="2:7" x14ac:dyDescent="0.3">
      <c r="D17">
        <v>3</v>
      </c>
      <c r="E17">
        <v>2</v>
      </c>
    </row>
    <row r="18" spans="2:7" x14ac:dyDescent="0.3">
      <c r="D18">
        <v>2</v>
      </c>
      <c r="E18">
        <v>3</v>
      </c>
    </row>
    <row r="19" spans="2:7" x14ac:dyDescent="0.3">
      <c r="D19">
        <v>3</v>
      </c>
      <c r="E19">
        <v>3</v>
      </c>
    </row>
    <row r="20" spans="2:7" x14ac:dyDescent="0.3">
      <c r="D20">
        <v>1</v>
      </c>
      <c r="E20">
        <v>3</v>
      </c>
    </row>
    <row r="21" spans="2:7" x14ac:dyDescent="0.3">
      <c r="D21">
        <v>2</v>
      </c>
    </row>
    <row r="22" spans="2:7" x14ac:dyDescent="0.3">
      <c r="D22">
        <v>4</v>
      </c>
    </row>
    <row r="24" spans="2:7" x14ac:dyDescent="0.3">
      <c r="B24" s="2"/>
      <c r="C24" s="2"/>
      <c r="D24" s="2"/>
      <c r="E24" s="2"/>
      <c r="G24" t="s">
        <v>20</v>
      </c>
    </row>
    <row r="25" spans="2:7" x14ac:dyDescent="0.3">
      <c r="B25" s="5">
        <f>AVERAGE(B2:B23)</f>
        <v>2.1666666666666665</v>
      </c>
      <c r="C25" s="5">
        <f t="shared" ref="C25:E25" si="0">AVERAGE(C2:C23)</f>
        <v>2.5384615384615383</v>
      </c>
      <c r="D25" s="5">
        <f t="shared" si="0"/>
        <v>2.7142857142857144</v>
      </c>
      <c r="E25" s="5">
        <f t="shared" si="0"/>
        <v>4.1578947368421053</v>
      </c>
      <c r="G25" s="6">
        <f>AVERAGE(B25:E25)</f>
        <v>2.894327164064006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ED544-4E39-489B-9A6F-487DB71093DD}">
  <dimension ref="A1:S21"/>
  <sheetViews>
    <sheetView zoomScale="63" workbookViewId="0">
      <selection activeCell="S10" sqref="S10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>
        <v>1</v>
      </c>
      <c r="O1" s="2"/>
      <c r="P1" s="2"/>
      <c r="Q1" s="2"/>
      <c r="S1" t="s">
        <v>5</v>
      </c>
    </row>
    <row r="2" spans="1:19" x14ac:dyDescent="0.3">
      <c r="A2" s="1" t="s">
        <v>6</v>
      </c>
      <c r="B2">
        <v>4</v>
      </c>
      <c r="C2">
        <v>3</v>
      </c>
      <c r="D2">
        <v>1</v>
      </c>
      <c r="E2">
        <v>2</v>
      </c>
      <c r="M2" s="1" t="s">
        <v>7</v>
      </c>
      <c r="N2" s="2"/>
      <c r="O2" s="2"/>
      <c r="P2" s="2">
        <v>3</v>
      </c>
      <c r="Q2" s="2">
        <v>1</v>
      </c>
      <c r="S2" s="4">
        <f>SUM(N1:Q6)</f>
        <v>5</v>
      </c>
    </row>
    <row r="3" spans="1:19" x14ac:dyDescent="0.3">
      <c r="A3" s="1" t="s">
        <v>8</v>
      </c>
      <c r="B3">
        <v>5</v>
      </c>
      <c r="C3">
        <v>3</v>
      </c>
      <c r="D3">
        <v>3</v>
      </c>
      <c r="E3">
        <v>2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6</v>
      </c>
      <c r="C4">
        <v>3</v>
      </c>
      <c r="D4">
        <v>4</v>
      </c>
      <c r="E4">
        <v>3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4</v>
      </c>
      <c r="C5">
        <v>3</v>
      </c>
      <c r="D5">
        <v>3</v>
      </c>
      <c r="E5">
        <v>4</v>
      </c>
      <c r="M5" s="1" t="s">
        <v>11</v>
      </c>
      <c r="N5" s="2"/>
      <c r="O5" s="2"/>
      <c r="P5" s="2"/>
      <c r="Q5" s="2"/>
    </row>
    <row r="6" spans="1:19" x14ac:dyDescent="0.3">
      <c r="A6" s="1"/>
      <c r="B6">
        <v>4</v>
      </c>
      <c r="C6">
        <v>3</v>
      </c>
      <c r="D6">
        <v>5</v>
      </c>
      <c r="E6">
        <v>4</v>
      </c>
      <c r="M6" s="1" t="s">
        <v>12</v>
      </c>
      <c r="N6" s="2"/>
      <c r="O6" s="2"/>
      <c r="P6" s="2"/>
      <c r="Q6" s="2"/>
    </row>
    <row r="7" spans="1:19" x14ac:dyDescent="0.3">
      <c r="A7" s="1"/>
      <c r="B7">
        <v>1</v>
      </c>
      <c r="C7">
        <v>4</v>
      </c>
      <c r="D7">
        <v>5</v>
      </c>
      <c r="E7">
        <v>4</v>
      </c>
    </row>
    <row r="8" spans="1:19" x14ac:dyDescent="0.3">
      <c r="A8" s="1"/>
      <c r="B8">
        <v>2</v>
      </c>
      <c r="D8">
        <v>3</v>
      </c>
      <c r="E8">
        <v>3</v>
      </c>
      <c r="M8" s="1" t="s">
        <v>13</v>
      </c>
      <c r="N8" s="2"/>
      <c r="O8" s="2"/>
      <c r="P8" s="2"/>
      <c r="Q8" s="2"/>
      <c r="S8" t="s">
        <v>14</v>
      </c>
    </row>
    <row r="9" spans="1:19" x14ac:dyDescent="0.3">
      <c r="A9" s="1"/>
      <c r="B9">
        <v>2</v>
      </c>
      <c r="D9">
        <v>1</v>
      </c>
      <c r="E9">
        <v>3</v>
      </c>
      <c r="M9" s="1" t="s">
        <v>15</v>
      </c>
      <c r="N9" s="2"/>
      <c r="O9" s="2"/>
      <c r="P9" s="2"/>
      <c r="Q9" s="2">
        <v>1</v>
      </c>
      <c r="S9" s="4">
        <f>SUM(N8:Q13)</f>
        <v>37</v>
      </c>
    </row>
    <row r="10" spans="1:19" x14ac:dyDescent="0.3">
      <c r="A10" s="1"/>
      <c r="B10">
        <v>2</v>
      </c>
      <c r="D10">
        <v>6</v>
      </c>
      <c r="E10">
        <v>3</v>
      </c>
      <c r="M10" s="1" t="s">
        <v>16</v>
      </c>
      <c r="N10" s="2"/>
      <c r="O10" s="2"/>
      <c r="P10" s="2"/>
      <c r="Q10" s="2"/>
    </row>
    <row r="11" spans="1:19" x14ac:dyDescent="0.3">
      <c r="A11" s="1"/>
      <c r="B11">
        <v>2</v>
      </c>
      <c r="E11">
        <v>3</v>
      </c>
      <c r="M11" s="1" t="s">
        <v>17</v>
      </c>
      <c r="N11" s="2"/>
      <c r="O11" s="2"/>
      <c r="P11" s="2"/>
      <c r="Q11" s="2"/>
    </row>
    <row r="12" spans="1:19" x14ac:dyDescent="0.3">
      <c r="A12" s="1"/>
      <c r="B12">
        <v>6</v>
      </c>
      <c r="E12">
        <v>4</v>
      </c>
      <c r="M12" s="1" t="s">
        <v>18</v>
      </c>
      <c r="N12" s="2"/>
      <c r="O12" s="2"/>
      <c r="P12" s="2"/>
      <c r="Q12" s="2"/>
    </row>
    <row r="13" spans="1:19" x14ac:dyDescent="0.3">
      <c r="A13" s="1"/>
      <c r="B13">
        <v>5</v>
      </c>
      <c r="E13">
        <v>4</v>
      </c>
      <c r="M13" s="1" t="s">
        <v>19</v>
      </c>
      <c r="N13" s="2">
        <v>29</v>
      </c>
      <c r="O13" s="2">
        <v>1</v>
      </c>
      <c r="P13" s="2">
        <v>1</v>
      </c>
      <c r="Q13" s="2">
        <v>5</v>
      </c>
    </row>
    <row r="14" spans="1:19" x14ac:dyDescent="0.3">
      <c r="A14" s="1"/>
      <c r="B14">
        <v>2</v>
      </c>
      <c r="E14">
        <v>4</v>
      </c>
    </row>
    <row r="15" spans="1:19" x14ac:dyDescent="0.3">
      <c r="B15">
        <v>2</v>
      </c>
      <c r="E15">
        <v>4</v>
      </c>
    </row>
    <row r="16" spans="1:19" x14ac:dyDescent="0.3">
      <c r="B16">
        <v>2</v>
      </c>
      <c r="E16">
        <v>4</v>
      </c>
    </row>
    <row r="17" spans="2:7" x14ac:dyDescent="0.3">
      <c r="B17">
        <v>5</v>
      </c>
      <c r="E17">
        <v>4</v>
      </c>
    </row>
    <row r="18" spans="2:7" x14ac:dyDescent="0.3">
      <c r="E18">
        <v>4</v>
      </c>
    </row>
    <row r="20" spans="2:7" x14ac:dyDescent="0.3">
      <c r="B20" s="2"/>
      <c r="C20" s="2"/>
      <c r="D20" s="2"/>
      <c r="E20" s="2"/>
      <c r="G20" t="s">
        <v>20</v>
      </c>
    </row>
    <row r="21" spans="2:7" x14ac:dyDescent="0.3">
      <c r="B21" s="5">
        <f>AVERAGE(B2:B19)</f>
        <v>3.375</v>
      </c>
      <c r="C21" s="5">
        <f t="shared" ref="C21:E21" si="0">AVERAGE(C2:C19)</f>
        <v>3.1666666666666665</v>
      </c>
      <c r="D21" s="5">
        <f t="shared" si="0"/>
        <v>3.4444444444444446</v>
      </c>
      <c r="E21" s="5">
        <f t="shared" si="0"/>
        <v>3.4705882352941178</v>
      </c>
      <c r="G21" s="6">
        <f>AVERAGE(B21:E21)</f>
        <v>3.3641748366013071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EA80D-A669-4BF6-93E2-78CD9183166A}">
  <dimension ref="A1:S21"/>
  <sheetViews>
    <sheetView zoomScale="65" workbookViewId="0">
      <selection activeCell="S10" sqref="S10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2</v>
      </c>
      <c r="C2">
        <v>4</v>
      </c>
      <c r="D2">
        <v>3</v>
      </c>
      <c r="E2">
        <v>2</v>
      </c>
      <c r="M2" s="1" t="s">
        <v>7</v>
      </c>
      <c r="N2" s="2"/>
      <c r="O2" s="2">
        <v>2</v>
      </c>
      <c r="P2" s="2">
        <v>1</v>
      </c>
      <c r="Q2" s="2"/>
      <c r="S2" s="4">
        <f>SUM(N1:Q6)</f>
        <v>3</v>
      </c>
    </row>
    <row r="3" spans="1:19" x14ac:dyDescent="0.3">
      <c r="A3" s="1" t="s">
        <v>8</v>
      </c>
      <c r="B3">
        <v>4</v>
      </c>
      <c r="C3">
        <v>4</v>
      </c>
      <c r="D3">
        <v>3</v>
      </c>
      <c r="E3">
        <v>2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4</v>
      </c>
      <c r="C4">
        <v>3</v>
      </c>
      <c r="D4">
        <v>5</v>
      </c>
      <c r="E4">
        <v>4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4</v>
      </c>
      <c r="C5">
        <v>3</v>
      </c>
      <c r="D5">
        <v>6</v>
      </c>
      <c r="E5">
        <v>5</v>
      </c>
      <c r="M5" s="1" t="s">
        <v>11</v>
      </c>
      <c r="N5" s="2"/>
      <c r="O5" s="2"/>
      <c r="P5" s="2"/>
      <c r="Q5" s="2"/>
    </row>
    <row r="6" spans="1:19" x14ac:dyDescent="0.3">
      <c r="A6" s="1"/>
      <c r="B6">
        <v>3</v>
      </c>
      <c r="C6">
        <v>3</v>
      </c>
      <c r="D6">
        <v>4</v>
      </c>
      <c r="E6">
        <v>4</v>
      </c>
      <c r="M6" s="1" t="s">
        <v>12</v>
      </c>
      <c r="N6" s="2"/>
      <c r="O6" s="2"/>
      <c r="P6" s="2"/>
      <c r="Q6" s="2"/>
    </row>
    <row r="7" spans="1:19" x14ac:dyDescent="0.3">
      <c r="A7" s="1"/>
      <c r="B7">
        <v>3</v>
      </c>
      <c r="C7">
        <v>3</v>
      </c>
      <c r="D7">
        <v>5</v>
      </c>
      <c r="E7">
        <v>3</v>
      </c>
    </row>
    <row r="8" spans="1:19" x14ac:dyDescent="0.3">
      <c r="A8" s="1"/>
      <c r="C8">
        <v>3</v>
      </c>
      <c r="D8">
        <v>4</v>
      </c>
      <c r="E8">
        <v>2</v>
      </c>
      <c r="M8" s="1" t="s">
        <v>13</v>
      </c>
      <c r="N8" s="2"/>
      <c r="O8" s="2">
        <v>1</v>
      </c>
      <c r="P8" s="2"/>
      <c r="Q8" s="2"/>
      <c r="S8" t="s">
        <v>14</v>
      </c>
    </row>
    <row r="9" spans="1:19" x14ac:dyDescent="0.3">
      <c r="A9" s="1"/>
      <c r="C9">
        <v>4</v>
      </c>
      <c r="D9">
        <v>2</v>
      </c>
      <c r="E9">
        <v>3</v>
      </c>
      <c r="M9" s="1" t="s">
        <v>15</v>
      </c>
      <c r="N9" s="2"/>
      <c r="O9" s="2"/>
      <c r="P9" s="2">
        <v>4</v>
      </c>
      <c r="Q9" s="2"/>
      <c r="S9" s="4">
        <f>SUM(N8:Q13)</f>
        <v>41</v>
      </c>
    </row>
    <row r="10" spans="1:19" x14ac:dyDescent="0.3">
      <c r="A10" s="1"/>
      <c r="C10">
        <v>4</v>
      </c>
      <c r="D10">
        <v>2</v>
      </c>
      <c r="E10">
        <v>4</v>
      </c>
      <c r="M10" s="1" t="s">
        <v>16</v>
      </c>
      <c r="N10" s="2"/>
      <c r="O10" s="2">
        <v>1</v>
      </c>
      <c r="P10" s="2"/>
      <c r="Q10" s="2"/>
    </row>
    <row r="11" spans="1:19" x14ac:dyDescent="0.3">
      <c r="A11" s="1"/>
      <c r="C11">
        <v>3</v>
      </c>
      <c r="E11">
        <v>4</v>
      </c>
      <c r="M11" s="1" t="s">
        <v>17</v>
      </c>
      <c r="N11" s="2"/>
      <c r="O11" s="2"/>
      <c r="P11" s="2"/>
      <c r="Q11" s="2">
        <v>1</v>
      </c>
    </row>
    <row r="12" spans="1:19" x14ac:dyDescent="0.3">
      <c r="A12" s="1"/>
      <c r="C12">
        <v>3</v>
      </c>
      <c r="E12">
        <v>4</v>
      </c>
      <c r="M12" s="1" t="s">
        <v>18</v>
      </c>
      <c r="N12" s="2"/>
      <c r="O12" s="2"/>
      <c r="P12" s="2"/>
      <c r="Q12" s="2"/>
    </row>
    <row r="13" spans="1:19" x14ac:dyDescent="0.3">
      <c r="A13" s="1"/>
      <c r="C13">
        <v>3</v>
      </c>
      <c r="E13">
        <v>5</v>
      </c>
      <c r="M13" s="1" t="s">
        <v>19</v>
      </c>
      <c r="N13" s="2">
        <v>16</v>
      </c>
      <c r="O13" s="2">
        <v>5</v>
      </c>
      <c r="P13" s="2">
        <v>3</v>
      </c>
      <c r="Q13" s="2">
        <v>10</v>
      </c>
    </row>
    <row r="14" spans="1:19" x14ac:dyDescent="0.3">
      <c r="A14" s="1"/>
      <c r="C14">
        <v>3</v>
      </c>
      <c r="E14">
        <v>6</v>
      </c>
    </row>
    <row r="15" spans="1:19" x14ac:dyDescent="0.3">
      <c r="C15">
        <v>3</v>
      </c>
      <c r="E15">
        <v>1</v>
      </c>
    </row>
    <row r="16" spans="1:19" x14ac:dyDescent="0.3">
      <c r="C16">
        <v>3</v>
      </c>
    </row>
    <row r="17" spans="2:7" x14ac:dyDescent="0.3">
      <c r="C17">
        <v>3</v>
      </c>
    </row>
    <row r="18" spans="2:7" x14ac:dyDescent="0.3">
      <c r="C18">
        <v>4</v>
      </c>
    </row>
    <row r="20" spans="2:7" x14ac:dyDescent="0.3">
      <c r="B20" s="2"/>
      <c r="C20" s="2"/>
      <c r="D20" s="2"/>
      <c r="E20" s="2"/>
      <c r="G20" t="s">
        <v>20</v>
      </c>
    </row>
    <row r="21" spans="2:7" x14ac:dyDescent="0.3">
      <c r="B21" s="5">
        <f>AVERAGE(B2:B19)</f>
        <v>3.3333333333333335</v>
      </c>
      <c r="C21" s="5">
        <f t="shared" ref="C21:E21" si="0">AVERAGE(C2:C19)</f>
        <v>3.2941176470588234</v>
      </c>
      <c r="D21" s="5">
        <f t="shared" si="0"/>
        <v>3.7777777777777777</v>
      </c>
      <c r="E21" s="5">
        <f t="shared" si="0"/>
        <v>3.5</v>
      </c>
      <c r="G21" s="6">
        <f>AVERAGE(B21:E21)</f>
        <v>3.4763071895424833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34ABC-3123-463E-98E6-D8F509C0CB3B}">
  <dimension ref="A1:S15"/>
  <sheetViews>
    <sheetView zoomScale="66" workbookViewId="0">
      <selection activeCell="S10" sqref="S10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6</v>
      </c>
      <c r="C2">
        <v>6</v>
      </c>
      <c r="D2">
        <v>4</v>
      </c>
      <c r="E2">
        <v>3</v>
      </c>
      <c r="M2" s="1" t="s">
        <v>7</v>
      </c>
      <c r="N2" s="2"/>
      <c r="O2" s="2"/>
      <c r="P2" s="2">
        <v>1</v>
      </c>
      <c r="Q2" s="2"/>
      <c r="S2" s="4">
        <f>SUM(N1:Q6)</f>
        <v>1</v>
      </c>
    </row>
    <row r="3" spans="1:19" x14ac:dyDescent="0.3">
      <c r="A3" s="1" t="s">
        <v>8</v>
      </c>
      <c r="B3">
        <v>6</v>
      </c>
      <c r="D3">
        <v>3</v>
      </c>
      <c r="E3">
        <v>3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4</v>
      </c>
      <c r="D4">
        <v>6</v>
      </c>
      <c r="E4">
        <v>4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6</v>
      </c>
      <c r="D5">
        <v>3</v>
      </c>
      <c r="E5">
        <v>4</v>
      </c>
      <c r="M5" s="1" t="s">
        <v>11</v>
      </c>
      <c r="N5" s="2"/>
      <c r="O5" s="2"/>
      <c r="P5" s="2"/>
      <c r="Q5" s="2"/>
    </row>
    <row r="6" spans="1:19" x14ac:dyDescent="0.3">
      <c r="A6" s="1"/>
      <c r="B6">
        <v>4</v>
      </c>
      <c r="D6">
        <v>3</v>
      </c>
      <c r="E6">
        <v>4</v>
      </c>
      <c r="M6" s="1" t="s">
        <v>12</v>
      </c>
      <c r="N6" s="2"/>
      <c r="O6" s="2"/>
      <c r="P6" s="2"/>
      <c r="Q6" s="2"/>
    </row>
    <row r="7" spans="1:19" x14ac:dyDescent="0.3">
      <c r="A7" s="1"/>
      <c r="B7">
        <v>4</v>
      </c>
      <c r="D7">
        <v>4</v>
      </c>
    </row>
    <row r="8" spans="1:19" x14ac:dyDescent="0.3">
      <c r="A8" s="1"/>
      <c r="B8">
        <v>4</v>
      </c>
      <c r="D8">
        <v>4</v>
      </c>
      <c r="M8" s="1" t="s">
        <v>13</v>
      </c>
      <c r="N8" s="2">
        <v>4</v>
      </c>
      <c r="O8" s="2">
        <v>2</v>
      </c>
      <c r="P8" s="2"/>
      <c r="Q8" s="2"/>
      <c r="S8" t="s">
        <v>14</v>
      </c>
    </row>
    <row r="9" spans="1:19" x14ac:dyDescent="0.3">
      <c r="A9" s="1"/>
      <c r="D9">
        <v>3</v>
      </c>
      <c r="M9" s="1" t="s">
        <v>15</v>
      </c>
      <c r="N9" s="2"/>
      <c r="O9" s="2"/>
      <c r="P9" s="2"/>
      <c r="Q9" s="2"/>
      <c r="S9" s="4">
        <f>SUM(N8:Q13)</f>
        <v>46</v>
      </c>
    </row>
    <row r="10" spans="1:19" x14ac:dyDescent="0.3">
      <c r="A10" s="1"/>
      <c r="M10" s="1" t="s">
        <v>16</v>
      </c>
      <c r="N10" s="2"/>
      <c r="O10" s="2"/>
      <c r="P10" s="2"/>
      <c r="Q10" s="2"/>
    </row>
    <row r="11" spans="1:19" x14ac:dyDescent="0.3">
      <c r="A11" s="1"/>
      <c r="M11" s="1" t="s">
        <v>17</v>
      </c>
      <c r="N11" s="2"/>
      <c r="O11" s="2">
        <v>4</v>
      </c>
      <c r="P11" s="2">
        <v>1</v>
      </c>
      <c r="Q11" s="2">
        <v>1</v>
      </c>
    </row>
    <row r="12" spans="1:19" x14ac:dyDescent="0.3">
      <c r="A12" s="1"/>
      <c r="M12" s="1" t="s">
        <v>18</v>
      </c>
      <c r="N12" s="2"/>
      <c r="O12" s="2"/>
      <c r="P12" s="2"/>
      <c r="Q12" s="2"/>
    </row>
    <row r="13" spans="1:19" x14ac:dyDescent="0.3">
      <c r="A13" s="1"/>
      <c r="M13" s="1" t="s">
        <v>19</v>
      </c>
      <c r="N13" s="2">
        <v>5</v>
      </c>
      <c r="O13" s="2">
        <v>14</v>
      </c>
      <c r="P13" s="2">
        <v>5</v>
      </c>
      <c r="Q13" s="2">
        <v>10</v>
      </c>
    </row>
    <row r="14" spans="1:19" x14ac:dyDescent="0.3">
      <c r="A14" s="1"/>
      <c r="B14" s="2"/>
      <c r="C14" s="2"/>
      <c r="D14" s="2"/>
      <c r="E14" s="2"/>
      <c r="G14" t="s">
        <v>20</v>
      </c>
    </row>
    <row r="15" spans="1:19" x14ac:dyDescent="0.3">
      <c r="B15" s="5">
        <f>AVERAGE(B2:B13)</f>
        <v>4.8571428571428568</v>
      </c>
      <c r="C15" s="5">
        <f t="shared" ref="C15:E15" si="0">AVERAGE(C2:C13)</f>
        <v>6</v>
      </c>
      <c r="D15" s="5">
        <f t="shared" si="0"/>
        <v>3.75</v>
      </c>
      <c r="E15" s="5">
        <f t="shared" si="0"/>
        <v>3.6</v>
      </c>
      <c r="G15" s="6">
        <f>AVERAGE(B15:E15)</f>
        <v>4.5517857142857148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4549-93A8-4239-AC10-67588F515E30}">
  <dimension ref="A1:S19"/>
  <sheetViews>
    <sheetView zoomScale="66" workbookViewId="0">
      <selection activeCell="S3" sqref="S3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4</v>
      </c>
      <c r="C2">
        <v>3</v>
      </c>
      <c r="D2">
        <v>2</v>
      </c>
      <c r="E2">
        <v>4</v>
      </c>
      <c r="M2" s="1" t="s">
        <v>7</v>
      </c>
      <c r="N2" s="2">
        <v>1</v>
      </c>
      <c r="O2" s="2"/>
      <c r="P2" s="2"/>
      <c r="Q2" s="2"/>
      <c r="S2" s="4">
        <f>SUM(N1:Q6)</f>
        <v>3</v>
      </c>
    </row>
    <row r="3" spans="1:19" x14ac:dyDescent="0.3">
      <c r="A3" s="1" t="s">
        <v>8</v>
      </c>
      <c r="B3">
        <v>5</v>
      </c>
      <c r="C3">
        <v>3</v>
      </c>
      <c r="D3">
        <v>3</v>
      </c>
      <c r="E3">
        <v>4</v>
      </c>
      <c r="M3" s="1" t="s">
        <v>9</v>
      </c>
      <c r="N3" s="2"/>
      <c r="O3" s="2">
        <v>1</v>
      </c>
      <c r="P3" s="2">
        <v>1</v>
      </c>
      <c r="Q3" s="2"/>
    </row>
    <row r="4" spans="1:19" x14ac:dyDescent="0.3">
      <c r="A4" s="1"/>
      <c r="B4">
        <v>6</v>
      </c>
      <c r="C4">
        <v>3</v>
      </c>
      <c r="D4">
        <v>4</v>
      </c>
      <c r="E4">
        <v>4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6</v>
      </c>
      <c r="C5">
        <v>3</v>
      </c>
      <c r="D5">
        <v>4</v>
      </c>
      <c r="E5">
        <v>3</v>
      </c>
      <c r="M5" s="1" t="s">
        <v>11</v>
      </c>
      <c r="N5" s="2"/>
      <c r="O5" s="2"/>
      <c r="P5" s="2"/>
      <c r="Q5" s="2"/>
    </row>
    <row r="6" spans="1:19" x14ac:dyDescent="0.3">
      <c r="A6" s="1"/>
      <c r="B6">
        <v>6</v>
      </c>
      <c r="C6">
        <v>4</v>
      </c>
      <c r="D6">
        <v>2</v>
      </c>
      <c r="E6">
        <v>2</v>
      </c>
      <c r="M6" s="1" t="s">
        <v>12</v>
      </c>
      <c r="N6" s="2"/>
      <c r="O6" s="2"/>
      <c r="P6" s="2"/>
      <c r="Q6" s="2"/>
    </row>
    <row r="7" spans="1:19" x14ac:dyDescent="0.3">
      <c r="A7" s="1"/>
      <c r="B7">
        <v>6</v>
      </c>
      <c r="E7">
        <v>2</v>
      </c>
    </row>
    <row r="8" spans="1:19" x14ac:dyDescent="0.3">
      <c r="A8" s="1"/>
      <c r="B8">
        <v>6</v>
      </c>
      <c r="E8">
        <v>2</v>
      </c>
      <c r="M8" s="1" t="s">
        <v>13</v>
      </c>
      <c r="N8" s="2"/>
      <c r="O8" s="2"/>
      <c r="P8" s="2"/>
      <c r="Q8" s="2"/>
      <c r="S8" t="s">
        <v>14</v>
      </c>
    </row>
    <row r="9" spans="1:19" x14ac:dyDescent="0.3">
      <c r="A9" s="1"/>
      <c r="B9">
        <v>4</v>
      </c>
      <c r="E9">
        <v>2</v>
      </c>
      <c r="M9" s="1" t="s">
        <v>15</v>
      </c>
      <c r="N9" s="2"/>
      <c r="O9" s="2"/>
      <c r="P9" s="2">
        <v>4</v>
      </c>
      <c r="Q9" s="2"/>
      <c r="S9" s="4">
        <f>SUM(N8:Q13)</f>
        <v>25</v>
      </c>
    </row>
    <row r="10" spans="1:19" x14ac:dyDescent="0.3">
      <c r="A10" s="1"/>
      <c r="B10">
        <v>4</v>
      </c>
      <c r="E10">
        <v>3</v>
      </c>
      <c r="M10" s="1" t="s">
        <v>16</v>
      </c>
      <c r="N10" s="2"/>
      <c r="O10" s="2"/>
      <c r="P10" s="2"/>
      <c r="Q10" s="2"/>
    </row>
    <row r="11" spans="1:19" x14ac:dyDescent="0.3">
      <c r="A11" s="1"/>
      <c r="B11">
        <v>4</v>
      </c>
      <c r="E11">
        <v>4</v>
      </c>
      <c r="M11" s="1" t="s">
        <v>17</v>
      </c>
      <c r="N11" s="2"/>
      <c r="O11" s="2"/>
      <c r="P11" s="2">
        <v>1</v>
      </c>
      <c r="Q11" s="2"/>
    </row>
    <row r="12" spans="1:19" x14ac:dyDescent="0.3">
      <c r="A12" s="1"/>
      <c r="B12">
        <v>3</v>
      </c>
      <c r="M12" s="1" t="s">
        <v>18</v>
      </c>
      <c r="N12" s="2"/>
      <c r="O12" s="2"/>
      <c r="P12" s="2"/>
      <c r="Q12" s="2"/>
    </row>
    <row r="13" spans="1:19" x14ac:dyDescent="0.3">
      <c r="A13" s="1"/>
      <c r="B13">
        <v>4</v>
      </c>
      <c r="M13" s="1" t="s">
        <v>19</v>
      </c>
      <c r="N13" s="2">
        <v>9</v>
      </c>
      <c r="O13" s="2">
        <v>7</v>
      </c>
      <c r="P13" s="2"/>
      <c r="Q13" s="2">
        <v>4</v>
      </c>
    </row>
    <row r="14" spans="1:19" x14ac:dyDescent="0.3">
      <c r="A14" s="1"/>
      <c r="B14">
        <v>4</v>
      </c>
    </row>
    <row r="15" spans="1:19" x14ac:dyDescent="0.3">
      <c r="B15">
        <v>4</v>
      </c>
    </row>
    <row r="16" spans="1:19" x14ac:dyDescent="0.3">
      <c r="B16">
        <v>4</v>
      </c>
    </row>
    <row r="18" spans="2:7" x14ac:dyDescent="0.3">
      <c r="B18" s="2"/>
      <c r="C18" s="2"/>
      <c r="D18" s="2"/>
      <c r="E18" s="2"/>
      <c r="G18" t="s">
        <v>20</v>
      </c>
    </row>
    <row r="19" spans="2:7" x14ac:dyDescent="0.3">
      <c r="B19" s="5">
        <f>AVERAGE(B2:B17)</f>
        <v>4.666666666666667</v>
      </c>
      <c r="C19" s="5">
        <f t="shared" ref="C19:E19" si="0">AVERAGE(C2:C17)</f>
        <v>3.2</v>
      </c>
      <c r="D19" s="5">
        <f t="shared" si="0"/>
        <v>3</v>
      </c>
      <c r="E19" s="5">
        <f t="shared" si="0"/>
        <v>3</v>
      </c>
      <c r="G19" s="6">
        <f>AVERAGE(B19:E19)</f>
        <v>3.4666666666666668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0BCD3-140E-4554-AFAE-B58D4CB8B09B}">
  <dimension ref="A1:S26"/>
  <sheetViews>
    <sheetView zoomScale="64" workbookViewId="0">
      <selection activeCell="S3" sqref="S3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6</v>
      </c>
      <c r="C2">
        <v>4</v>
      </c>
      <c r="D2">
        <v>4</v>
      </c>
      <c r="E2">
        <v>5</v>
      </c>
      <c r="M2" s="1" t="s">
        <v>7</v>
      </c>
      <c r="N2" s="2"/>
      <c r="O2" s="2"/>
      <c r="P2" s="2"/>
      <c r="Q2" s="2"/>
      <c r="S2" s="4">
        <v>0</v>
      </c>
    </row>
    <row r="3" spans="1:19" x14ac:dyDescent="0.3">
      <c r="A3" s="1" t="s">
        <v>8</v>
      </c>
      <c r="C3">
        <v>5</v>
      </c>
      <c r="D3">
        <v>4</v>
      </c>
      <c r="E3">
        <v>3</v>
      </c>
      <c r="M3" s="1" t="s">
        <v>9</v>
      </c>
      <c r="N3" s="2"/>
      <c r="O3" s="2"/>
      <c r="P3" s="2"/>
      <c r="Q3" s="2"/>
    </row>
    <row r="4" spans="1:19" x14ac:dyDescent="0.3">
      <c r="A4" s="1"/>
      <c r="C4">
        <v>6</v>
      </c>
      <c r="D4">
        <v>4</v>
      </c>
      <c r="E4">
        <v>4</v>
      </c>
      <c r="M4" s="1" t="s">
        <v>10</v>
      </c>
      <c r="N4" s="2"/>
      <c r="O4" s="2"/>
      <c r="P4" s="2"/>
      <c r="Q4" s="2"/>
    </row>
    <row r="5" spans="1:19" x14ac:dyDescent="0.3">
      <c r="A5" s="1"/>
      <c r="C5">
        <v>6</v>
      </c>
      <c r="D5">
        <v>4</v>
      </c>
      <c r="E5">
        <v>3</v>
      </c>
      <c r="M5" s="1" t="s">
        <v>11</v>
      </c>
      <c r="N5" s="2"/>
      <c r="O5" s="2"/>
      <c r="P5" s="2"/>
      <c r="Q5" s="2"/>
    </row>
    <row r="6" spans="1:19" x14ac:dyDescent="0.3">
      <c r="A6" s="1"/>
      <c r="C6">
        <v>5</v>
      </c>
      <c r="D6">
        <v>4</v>
      </c>
      <c r="E6">
        <v>4</v>
      </c>
      <c r="M6" s="1" t="s">
        <v>12</v>
      </c>
      <c r="N6" s="2"/>
      <c r="O6" s="2"/>
      <c r="P6" s="2"/>
      <c r="Q6" s="2"/>
    </row>
    <row r="7" spans="1:19" x14ac:dyDescent="0.3">
      <c r="A7" s="1"/>
      <c r="C7">
        <v>4</v>
      </c>
      <c r="D7">
        <v>5</v>
      </c>
      <c r="E7">
        <v>3</v>
      </c>
    </row>
    <row r="8" spans="1:19" x14ac:dyDescent="0.3">
      <c r="A8" s="1"/>
      <c r="C8">
        <v>4</v>
      </c>
      <c r="D8">
        <v>5</v>
      </c>
      <c r="E8">
        <v>3</v>
      </c>
      <c r="M8" s="1" t="s">
        <v>13</v>
      </c>
      <c r="N8" s="2"/>
      <c r="O8" s="2"/>
      <c r="P8" s="2">
        <v>1</v>
      </c>
      <c r="Q8" s="2"/>
      <c r="S8" t="s">
        <v>14</v>
      </c>
    </row>
    <row r="9" spans="1:19" x14ac:dyDescent="0.3">
      <c r="A9" s="1"/>
      <c r="C9">
        <v>4</v>
      </c>
      <c r="D9">
        <v>5</v>
      </c>
      <c r="E9">
        <v>3</v>
      </c>
      <c r="M9" s="1" t="s">
        <v>15</v>
      </c>
      <c r="N9" s="2"/>
      <c r="O9" s="2"/>
      <c r="P9" s="2"/>
      <c r="Q9" s="2"/>
      <c r="S9" s="4">
        <f>SUM(N8:Q13)</f>
        <v>48</v>
      </c>
    </row>
    <row r="10" spans="1:19" x14ac:dyDescent="0.3">
      <c r="A10" s="1"/>
      <c r="C10">
        <v>4</v>
      </c>
      <c r="D10">
        <v>5</v>
      </c>
      <c r="E10">
        <v>3</v>
      </c>
      <c r="M10" s="1" t="s">
        <v>16</v>
      </c>
      <c r="N10" s="2"/>
      <c r="O10" s="2"/>
      <c r="P10" s="2"/>
      <c r="Q10" s="2"/>
    </row>
    <row r="11" spans="1:19" x14ac:dyDescent="0.3">
      <c r="A11" s="1"/>
      <c r="D11">
        <v>5</v>
      </c>
      <c r="E11">
        <v>4</v>
      </c>
      <c r="M11" s="1" t="s">
        <v>17</v>
      </c>
      <c r="N11" s="2">
        <v>1</v>
      </c>
      <c r="O11" s="2">
        <v>1</v>
      </c>
      <c r="P11" s="2"/>
      <c r="Q11" s="2"/>
    </row>
    <row r="12" spans="1:19" x14ac:dyDescent="0.3">
      <c r="A12" s="1"/>
      <c r="D12">
        <v>4</v>
      </c>
      <c r="E12">
        <v>4</v>
      </c>
      <c r="M12" s="1" t="s">
        <v>18</v>
      </c>
      <c r="N12" s="2">
        <v>1</v>
      </c>
      <c r="O12" s="2"/>
      <c r="P12" s="2"/>
      <c r="Q12" s="2"/>
    </row>
    <row r="13" spans="1:19" x14ac:dyDescent="0.3">
      <c r="A13" s="1"/>
      <c r="D13">
        <v>4</v>
      </c>
      <c r="E13">
        <v>5</v>
      </c>
      <c r="M13" s="1" t="s">
        <v>19</v>
      </c>
      <c r="N13" s="2">
        <v>3</v>
      </c>
      <c r="O13" s="2">
        <v>35</v>
      </c>
      <c r="P13" s="2"/>
      <c r="Q13" s="2">
        <v>6</v>
      </c>
    </row>
    <row r="14" spans="1:19" x14ac:dyDescent="0.3">
      <c r="A14" s="1"/>
      <c r="D14">
        <v>4</v>
      </c>
    </row>
    <row r="15" spans="1:19" x14ac:dyDescent="0.3">
      <c r="D15">
        <v>4</v>
      </c>
    </row>
    <row r="16" spans="1:19" x14ac:dyDescent="0.3">
      <c r="D16">
        <v>3</v>
      </c>
    </row>
    <row r="17" spans="2:7" x14ac:dyDescent="0.3">
      <c r="D17">
        <v>3</v>
      </c>
    </row>
    <row r="18" spans="2:7" x14ac:dyDescent="0.3">
      <c r="D18">
        <v>3</v>
      </c>
    </row>
    <row r="19" spans="2:7" x14ac:dyDescent="0.3">
      <c r="D19">
        <v>3</v>
      </c>
    </row>
    <row r="20" spans="2:7" x14ac:dyDescent="0.3">
      <c r="D20">
        <v>3</v>
      </c>
    </row>
    <row r="21" spans="2:7" x14ac:dyDescent="0.3">
      <c r="D21">
        <v>4</v>
      </c>
    </row>
    <row r="22" spans="2:7" x14ac:dyDescent="0.3">
      <c r="D22">
        <v>5</v>
      </c>
    </row>
    <row r="23" spans="2:7" x14ac:dyDescent="0.3">
      <c r="D23">
        <v>6</v>
      </c>
    </row>
    <row r="25" spans="2:7" x14ac:dyDescent="0.3">
      <c r="B25" s="2"/>
      <c r="C25" s="2"/>
      <c r="D25" s="2"/>
      <c r="E25" s="2"/>
      <c r="G25" t="s">
        <v>20</v>
      </c>
    </row>
    <row r="26" spans="2:7" x14ac:dyDescent="0.3">
      <c r="B26" s="5">
        <f>AVERAGE(B2:B24)</f>
        <v>6</v>
      </c>
      <c r="C26" s="5">
        <f t="shared" ref="C26:E26" si="0">AVERAGE(C2:C24)</f>
        <v>4.666666666666667</v>
      </c>
      <c r="D26" s="5">
        <f t="shared" si="0"/>
        <v>4.1363636363636367</v>
      </c>
      <c r="E26" s="5">
        <f t="shared" si="0"/>
        <v>3.6666666666666665</v>
      </c>
      <c r="G26" s="6">
        <f>AVERAGE(B26:E26)</f>
        <v>4.6174242424242431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CC55-5895-49DE-84C1-91A89AA7EEFA}">
  <dimension ref="A1:S17"/>
  <sheetViews>
    <sheetView zoomScale="64" workbookViewId="0">
      <selection activeCell="S3" sqref="S3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3</v>
      </c>
      <c r="C2">
        <v>6</v>
      </c>
      <c r="D2">
        <v>3</v>
      </c>
      <c r="E2">
        <v>4</v>
      </c>
      <c r="M2" s="1" t="s">
        <v>7</v>
      </c>
      <c r="N2" s="2"/>
      <c r="O2" s="2"/>
      <c r="P2" s="2"/>
      <c r="Q2" s="2"/>
      <c r="S2" s="4">
        <v>0</v>
      </c>
    </row>
    <row r="3" spans="1:19" x14ac:dyDescent="0.3">
      <c r="A3" s="1" t="s">
        <v>8</v>
      </c>
      <c r="B3">
        <v>3</v>
      </c>
      <c r="C3">
        <v>4</v>
      </c>
      <c r="D3">
        <v>3</v>
      </c>
      <c r="E3">
        <v>5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3</v>
      </c>
      <c r="C4">
        <v>4</v>
      </c>
      <c r="D4">
        <v>3</v>
      </c>
      <c r="E4">
        <v>5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3</v>
      </c>
      <c r="C5">
        <v>4</v>
      </c>
      <c r="E5">
        <v>4</v>
      </c>
      <c r="M5" s="1" t="s">
        <v>11</v>
      </c>
      <c r="N5" s="2"/>
      <c r="O5" s="2"/>
      <c r="P5" s="2"/>
      <c r="Q5" s="2"/>
    </row>
    <row r="6" spans="1:19" x14ac:dyDescent="0.3">
      <c r="A6" s="1"/>
      <c r="B6">
        <v>3</v>
      </c>
      <c r="C6">
        <v>5</v>
      </c>
      <c r="M6" s="1" t="s">
        <v>12</v>
      </c>
      <c r="N6" s="2"/>
      <c r="O6" s="2"/>
      <c r="P6" s="2"/>
      <c r="Q6" s="2"/>
    </row>
    <row r="7" spans="1:19" x14ac:dyDescent="0.3">
      <c r="A7" s="1"/>
      <c r="B7">
        <v>3</v>
      </c>
      <c r="C7">
        <v>3</v>
      </c>
    </row>
    <row r="8" spans="1:19" x14ac:dyDescent="0.3">
      <c r="A8" s="1"/>
      <c r="C8">
        <v>3</v>
      </c>
      <c r="M8" s="1" t="s">
        <v>13</v>
      </c>
      <c r="N8" s="2"/>
      <c r="O8" s="2"/>
      <c r="P8" s="2"/>
      <c r="Q8" s="2"/>
      <c r="S8" t="s">
        <v>14</v>
      </c>
    </row>
    <row r="9" spans="1:19" x14ac:dyDescent="0.3">
      <c r="A9" s="1"/>
      <c r="C9">
        <v>3</v>
      </c>
      <c r="M9" s="1" t="s">
        <v>15</v>
      </c>
      <c r="N9" s="2"/>
      <c r="O9" s="2"/>
      <c r="P9" s="2"/>
      <c r="Q9" s="2"/>
      <c r="S9" s="4">
        <f>SUM(N8:Q13)</f>
        <v>30</v>
      </c>
    </row>
    <row r="10" spans="1:19" x14ac:dyDescent="0.3">
      <c r="A10" s="1"/>
      <c r="C10">
        <v>4</v>
      </c>
      <c r="M10" s="1" t="s">
        <v>16</v>
      </c>
      <c r="N10" s="2"/>
      <c r="O10" s="2"/>
      <c r="P10" s="2"/>
      <c r="Q10" s="2"/>
    </row>
    <row r="11" spans="1:19" x14ac:dyDescent="0.3">
      <c r="A11" s="1"/>
      <c r="C11">
        <v>4</v>
      </c>
      <c r="M11" s="1" t="s">
        <v>17</v>
      </c>
      <c r="N11" s="2"/>
      <c r="O11" s="2"/>
      <c r="P11" s="2"/>
      <c r="Q11" s="2"/>
    </row>
    <row r="12" spans="1:19" x14ac:dyDescent="0.3">
      <c r="A12" s="1"/>
      <c r="C12">
        <v>4</v>
      </c>
      <c r="M12" s="1" t="s">
        <v>18</v>
      </c>
      <c r="N12" s="2"/>
      <c r="O12" s="2"/>
      <c r="P12" s="2"/>
      <c r="Q12" s="2"/>
    </row>
    <row r="13" spans="1:19" x14ac:dyDescent="0.3">
      <c r="A13" s="1"/>
      <c r="C13">
        <v>4</v>
      </c>
      <c r="M13" s="1" t="s">
        <v>19</v>
      </c>
      <c r="N13" s="2">
        <v>15</v>
      </c>
      <c r="O13" s="2">
        <v>10</v>
      </c>
      <c r="P13" s="2">
        <v>5</v>
      </c>
      <c r="Q13" s="2"/>
    </row>
    <row r="14" spans="1:19" x14ac:dyDescent="0.3">
      <c r="A14" s="1"/>
    </row>
    <row r="16" spans="1:19" x14ac:dyDescent="0.3">
      <c r="B16" s="2"/>
      <c r="C16" s="2"/>
      <c r="D16" s="2"/>
      <c r="E16" s="2"/>
      <c r="G16" t="s">
        <v>20</v>
      </c>
    </row>
    <row r="17" spans="2:7" x14ac:dyDescent="0.3">
      <c r="B17" s="5">
        <f>AVERAGE(B2:B15)</f>
        <v>3</v>
      </c>
      <c r="C17" s="5">
        <f t="shared" ref="C17:E17" si="0">AVERAGE(C2:C15)</f>
        <v>4</v>
      </c>
      <c r="D17" s="5">
        <f t="shared" si="0"/>
        <v>3</v>
      </c>
      <c r="E17" s="5">
        <f t="shared" si="0"/>
        <v>4.5</v>
      </c>
      <c r="G17" s="6">
        <f>AVERAGE(B17:E17)</f>
        <v>3.625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BFB3C-6657-4E39-AF20-56277358C68B}">
  <dimension ref="A1:S23"/>
  <sheetViews>
    <sheetView zoomScale="55" workbookViewId="0">
      <selection activeCell="S3" sqref="S3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5</v>
      </c>
      <c r="C2">
        <v>3</v>
      </c>
      <c r="D2">
        <v>4</v>
      </c>
      <c r="E2">
        <v>3</v>
      </c>
      <c r="M2" s="1" t="s">
        <v>7</v>
      </c>
      <c r="N2" s="2"/>
      <c r="O2" s="2"/>
      <c r="P2" s="2"/>
      <c r="Q2" s="2"/>
      <c r="S2" s="4">
        <v>0</v>
      </c>
    </row>
    <row r="3" spans="1:19" x14ac:dyDescent="0.3">
      <c r="A3" s="1" t="s">
        <v>8</v>
      </c>
      <c r="C3">
        <v>3</v>
      </c>
      <c r="D3">
        <v>4</v>
      </c>
      <c r="E3">
        <v>3</v>
      </c>
      <c r="M3" s="1" t="s">
        <v>9</v>
      </c>
      <c r="N3" s="2"/>
      <c r="O3" s="2"/>
      <c r="P3" s="2"/>
      <c r="Q3" s="2"/>
    </row>
    <row r="4" spans="1:19" x14ac:dyDescent="0.3">
      <c r="A4" s="1"/>
      <c r="C4">
        <v>3</v>
      </c>
      <c r="D4">
        <v>4</v>
      </c>
      <c r="E4">
        <v>3</v>
      </c>
      <c r="M4" s="1" t="s">
        <v>10</v>
      </c>
      <c r="N4" s="2"/>
      <c r="O4" s="2"/>
      <c r="P4" s="2"/>
      <c r="Q4" s="2"/>
    </row>
    <row r="5" spans="1:19" x14ac:dyDescent="0.3">
      <c r="A5" s="1"/>
      <c r="C5">
        <v>3</v>
      </c>
      <c r="D5">
        <v>4</v>
      </c>
      <c r="E5">
        <v>3</v>
      </c>
      <c r="M5" s="1" t="s">
        <v>11</v>
      </c>
      <c r="N5" s="2"/>
      <c r="O5" s="2"/>
      <c r="P5" s="2"/>
      <c r="Q5" s="2"/>
    </row>
    <row r="6" spans="1:19" x14ac:dyDescent="0.3">
      <c r="A6" s="1"/>
      <c r="C6">
        <v>3</v>
      </c>
      <c r="D6">
        <v>4</v>
      </c>
      <c r="E6">
        <v>3</v>
      </c>
      <c r="M6" s="1" t="s">
        <v>12</v>
      </c>
      <c r="N6" s="2"/>
      <c r="O6" s="2"/>
      <c r="P6" s="2"/>
      <c r="Q6" s="2"/>
    </row>
    <row r="7" spans="1:19" x14ac:dyDescent="0.3">
      <c r="A7" s="1"/>
      <c r="D7">
        <v>3</v>
      </c>
      <c r="E7">
        <v>3</v>
      </c>
    </row>
    <row r="8" spans="1:19" x14ac:dyDescent="0.3">
      <c r="A8" s="1"/>
      <c r="D8">
        <v>3</v>
      </c>
      <c r="E8">
        <v>3</v>
      </c>
      <c r="M8" s="1" t="s">
        <v>13</v>
      </c>
      <c r="N8" s="2"/>
      <c r="O8" s="2">
        <v>1</v>
      </c>
      <c r="P8" s="2"/>
      <c r="Q8" s="2"/>
      <c r="S8" t="s">
        <v>14</v>
      </c>
    </row>
    <row r="9" spans="1:19" x14ac:dyDescent="0.3">
      <c r="A9" s="1"/>
      <c r="D9">
        <v>5</v>
      </c>
      <c r="E9">
        <v>3</v>
      </c>
      <c r="M9" s="1" t="s">
        <v>15</v>
      </c>
      <c r="N9" s="2"/>
      <c r="O9" s="2"/>
      <c r="P9" s="2"/>
      <c r="Q9" s="2"/>
      <c r="S9" s="4">
        <f>SUM(N8:Q13)</f>
        <v>13</v>
      </c>
    </row>
    <row r="10" spans="1:19" x14ac:dyDescent="0.3">
      <c r="A10" s="1"/>
      <c r="D10">
        <v>3</v>
      </c>
      <c r="E10">
        <v>6</v>
      </c>
      <c r="M10" s="1" t="s">
        <v>16</v>
      </c>
      <c r="N10" s="2">
        <v>1</v>
      </c>
      <c r="O10" s="2">
        <v>1</v>
      </c>
      <c r="P10" s="2">
        <v>1</v>
      </c>
      <c r="Q10" s="2"/>
    </row>
    <row r="11" spans="1:19" x14ac:dyDescent="0.3">
      <c r="A11" s="1"/>
      <c r="D11">
        <v>3</v>
      </c>
      <c r="E11">
        <v>6</v>
      </c>
      <c r="M11" s="1" t="s">
        <v>17</v>
      </c>
      <c r="N11" s="2"/>
      <c r="O11" s="2">
        <v>1</v>
      </c>
      <c r="P11" s="2">
        <v>1</v>
      </c>
      <c r="Q11" s="2">
        <v>2</v>
      </c>
    </row>
    <row r="12" spans="1:19" x14ac:dyDescent="0.3">
      <c r="A12" s="1"/>
      <c r="D12">
        <v>3</v>
      </c>
      <c r="E12">
        <v>5</v>
      </c>
      <c r="M12" s="1" t="s">
        <v>18</v>
      </c>
      <c r="N12" s="2"/>
      <c r="O12" s="2">
        <v>1</v>
      </c>
      <c r="P12" s="2">
        <v>1</v>
      </c>
      <c r="Q12" s="2">
        <v>1</v>
      </c>
    </row>
    <row r="13" spans="1:19" x14ac:dyDescent="0.3">
      <c r="A13" s="1"/>
      <c r="D13">
        <v>3</v>
      </c>
      <c r="M13" s="1" t="s">
        <v>19</v>
      </c>
      <c r="N13" s="2"/>
      <c r="O13" s="2">
        <v>2</v>
      </c>
      <c r="P13" s="2"/>
      <c r="Q13" s="2"/>
    </row>
    <row r="14" spans="1:19" x14ac:dyDescent="0.3">
      <c r="A14" s="1"/>
      <c r="D14">
        <v>3</v>
      </c>
    </row>
    <row r="15" spans="1:19" x14ac:dyDescent="0.3">
      <c r="D15">
        <v>3</v>
      </c>
    </row>
    <row r="16" spans="1:19" x14ac:dyDescent="0.3">
      <c r="D16">
        <v>3</v>
      </c>
    </row>
    <row r="17" spans="2:7" x14ac:dyDescent="0.3">
      <c r="D17">
        <v>3</v>
      </c>
    </row>
    <row r="18" spans="2:7" x14ac:dyDescent="0.3">
      <c r="D18">
        <v>2</v>
      </c>
    </row>
    <row r="19" spans="2:7" x14ac:dyDescent="0.3">
      <c r="D19">
        <v>2</v>
      </c>
    </row>
    <row r="20" spans="2:7" x14ac:dyDescent="0.3">
      <c r="D20">
        <v>5</v>
      </c>
    </row>
    <row r="22" spans="2:7" x14ac:dyDescent="0.3">
      <c r="B22" s="2"/>
      <c r="C22" s="2"/>
      <c r="D22" s="2"/>
      <c r="E22" s="2"/>
      <c r="G22" t="s">
        <v>20</v>
      </c>
    </row>
    <row r="23" spans="2:7" x14ac:dyDescent="0.3">
      <c r="B23" s="5">
        <f>AVERAGE(B2:B21)</f>
        <v>5</v>
      </c>
      <c r="C23" s="5">
        <f t="shared" ref="C23:E23" si="0">AVERAGE(C2:C21)</f>
        <v>3</v>
      </c>
      <c r="D23" s="5">
        <f t="shared" si="0"/>
        <v>3.3684210526315788</v>
      </c>
      <c r="E23" s="5">
        <f t="shared" si="0"/>
        <v>3.7272727272727271</v>
      </c>
      <c r="G23" s="6">
        <f>AVERAGE(B23:E23)</f>
        <v>3.7739234449760763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E0195-1F63-4B38-A69D-DBE1DAD96EDB}">
  <dimension ref="A1:S14"/>
  <sheetViews>
    <sheetView workbookViewId="0">
      <selection activeCell="S3" sqref="S3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3</v>
      </c>
      <c r="C2">
        <v>4</v>
      </c>
      <c r="D2">
        <v>3</v>
      </c>
      <c r="E2">
        <v>4</v>
      </c>
      <c r="M2" s="1" t="s">
        <v>7</v>
      </c>
      <c r="N2" s="2"/>
      <c r="O2" s="2"/>
      <c r="P2" s="2"/>
      <c r="Q2" s="2"/>
      <c r="S2" s="4">
        <f>SUM(N1:Q6)</f>
        <v>2</v>
      </c>
    </row>
    <row r="3" spans="1:19" x14ac:dyDescent="0.3">
      <c r="A3" s="1" t="s">
        <v>8</v>
      </c>
      <c r="B3">
        <v>3</v>
      </c>
      <c r="C3">
        <v>4</v>
      </c>
      <c r="D3">
        <v>4</v>
      </c>
      <c r="E3">
        <v>3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3</v>
      </c>
      <c r="C4">
        <v>4</v>
      </c>
      <c r="D4">
        <v>4</v>
      </c>
      <c r="E4">
        <v>3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4</v>
      </c>
      <c r="C5">
        <v>3</v>
      </c>
      <c r="D5">
        <v>4</v>
      </c>
      <c r="E5">
        <v>3</v>
      </c>
      <c r="M5" s="1" t="s">
        <v>11</v>
      </c>
      <c r="N5" s="2"/>
      <c r="O5" s="2"/>
      <c r="P5" s="2"/>
      <c r="Q5" s="2">
        <v>2</v>
      </c>
    </row>
    <row r="6" spans="1:19" x14ac:dyDescent="0.3">
      <c r="A6" s="1"/>
      <c r="B6">
        <v>2</v>
      </c>
      <c r="C6">
        <v>4</v>
      </c>
      <c r="D6">
        <v>3</v>
      </c>
      <c r="M6" s="1" t="s">
        <v>12</v>
      </c>
      <c r="N6" s="2"/>
      <c r="O6" s="2"/>
      <c r="P6" s="2"/>
      <c r="Q6" s="2"/>
    </row>
    <row r="7" spans="1:19" x14ac:dyDescent="0.3">
      <c r="A7" s="1"/>
      <c r="B7">
        <v>2</v>
      </c>
      <c r="D7">
        <v>3</v>
      </c>
    </row>
    <row r="8" spans="1:19" x14ac:dyDescent="0.3">
      <c r="A8" s="1"/>
      <c r="B8">
        <v>2</v>
      </c>
      <c r="D8">
        <v>3</v>
      </c>
      <c r="M8" s="1" t="s">
        <v>13</v>
      </c>
      <c r="N8" s="2"/>
      <c r="O8" s="2"/>
      <c r="P8" s="2">
        <v>1</v>
      </c>
      <c r="Q8" s="2">
        <v>1</v>
      </c>
      <c r="S8" t="s">
        <v>14</v>
      </c>
    </row>
    <row r="9" spans="1:19" x14ac:dyDescent="0.3">
      <c r="A9" s="1"/>
      <c r="M9" s="1" t="s">
        <v>15</v>
      </c>
      <c r="N9" s="2"/>
      <c r="O9" s="2"/>
      <c r="P9" s="2"/>
      <c r="Q9" s="2"/>
      <c r="S9" s="4">
        <f>SUM(N8:Q13)</f>
        <v>27</v>
      </c>
    </row>
    <row r="10" spans="1:19" x14ac:dyDescent="0.3">
      <c r="A10" s="1"/>
      <c r="M10" s="1" t="s">
        <v>16</v>
      </c>
      <c r="N10" s="2">
        <v>1</v>
      </c>
      <c r="O10" s="2">
        <v>2</v>
      </c>
      <c r="P10" s="2">
        <v>3</v>
      </c>
      <c r="Q10" s="2">
        <v>4</v>
      </c>
    </row>
    <row r="11" spans="1:19" x14ac:dyDescent="0.3">
      <c r="A11" s="1"/>
      <c r="M11" s="1" t="s">
        <v>17</v>
      </c>
      <c r="N11" s="2"/>
      <c r="O11" s="2">
        <v>4</v>
      </c>
      <c r="P11" s="2">
        <v>7</v>
      </c>
      <c r="Q11" s="2">
        <v>1</v>
      </c>
    </row>
    <row r="12" spans="1:19" x14ac:dyDescent="0.3">
      <c r="A12" s="1"/>
      <c r="M12" s="1" t="s">
        <v>18</v>
      </c>
      <c r="N12" s="2"/>
      <c r="O12" s="2"/>
      <c r="P12" s="2">
        <v>2</v>
      </c>
      <c r="Q12" s="2"/>
    </row>
    <row r="13" spans="1:19" x14ac:dyDescent="0.3">
      <c r="A13" s="1"/>
      <c r="B13" s="2"/>
      <c r="C13" s="2"/>
      <c r="D13" s="2"/>
      <c r="E13" s="2"/>
      <c r="G13" t="s">
        <v>20</v>
      </c>
      <c r="M13" s="1" t="s">
        <v>19</v>
      </c>
      <c r="N13" s="2"/>
      <c r="O13" s="2">
        <v>1</v>
      </c>
      <c r="P13" s="2"/>
      <c r="Q13" s="2"/>
    </row>
    <row r="14" spans="1:19" x14ac:dyDescent="0.3">
      <c r="A14" s="1"/>
      <c r="B14" s="5">
        <f>AVERAGE(B2:B12)</f>
        <v>2.7142857142857144</v>
      </c>
      <c r="C14" s="5">
        <f t="shared" ref="C14:E14" si="0">AVERAGE(C2:C12)</f>
        <v>3.8</v>
      </c>
      <c r="D14" s="5">
        <f t="shared" si="0"/>
        <v>3.4285714285714284</v>
      </c>
      <c r="E14" s="5">
        <f t="shared" si="0"/>
        <v>3.25</v>
      </c>
      <c r="G14" s="6">
        <f>AVERAGE(B14:E14)</f>
        <v>3.2982142857142858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A4E6C-8D3B-4296-BC67-3B844A111BC0}">
  <dimension ref="A1:S14"/>
  <sheetViews>
    <sheetView workbookViewId="0">
      <selection activeCell="S10" sqref="S10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4</v>
      </c>
      <c r="C2">
        <v>4</v>
      </c>
      <c r="D2">
        <v>4</v>
      </c>
      <c r="E2">
        <v>4</v>
      </c>
      <c r="M2" s="1" t="s">
        <v>7</v>
      </c>
      <c r="N2" s="2"/>
      <c r="O2" s="2">
        <v>1</v>
      </c>
      <c r="P2" s="2"/>
      <c r="Q2" s="2"/>
      <c r="S2" s="4">
        <f>SUM(N1:Q6)</f>
        <v>2</v>
      </c>
    </row>
    <row r="3" spans="1:19" x14ac:dyDescent="0.3">
      <c r="A3" s="1" t="s">
        <v>8</v>
      </c>
      <c r="B3">
        <v>3</v>
      </c>
      <c r="D3">
        <v>4</v>
      </c>
      <c r="E3">
        <v>4</v>
      </c>
      <c r="M3" s="1" t="s">
        <v>9</v>
      </c>
      <c r="N3" s="2"/>
      <c r="O3" s="2">
        <v>1</v>
      </c>
      <c r="P3" s="2"/>
      <c r="Q3" s="2"/>
    </row>
    <row r="4" spans="1:19" x14ac:dyDescent="0.3">
      <c r="A4" s="1"/>
      <c r="B4">
        <v>3</v>
      </c>
      <c r="D4">
        <v>4</v>
      </c>
      <c r="E4">
        <v>1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3</v>
      </c>
      <c r="D5">
        <v>4</v>
      </c>
      <c r="E5">
        <v>1</v>
      </c>
      <c r="M5" s="1" t="s">
        <v>11</v>
      </c>
      <c r="N5" s="2"/>
      <c r="O5" s="2"/>
      <c r="P5" s="2"/>
      <c r="Q5" s="2"/>
    </row>
    <row r="6" spans="1:19" x14ac:dyDescent="0.3">
      <c r="A6" s="1"/>
      <c r="D6">
        <v>4</v>
      </c>
      <c r="E6">
        <v>2</v>
      </c>
      <c r="M6" s="1" t="s">
        <v>12</v>
      </c>
      <c r="N6" s="2"/>
      <c r="O6" s="2"/>
      <c r="P6" s="2"/>
      <c r="Q6" s="2"/>
    </row>
    <row r="7" spans="1:19" x14ac:dyDescent="0.3">
      <c r="A7" s="1"/>
      <c r="D7">
        <v>3</v>
      </c>
      <c r="E7">
        <v>2</v>
      </c>
    </row>
    <row r="8" spans="1:19" x14ac:dyDescent="0.3">
      <c r="A8" s="1"/>
      <c r="D8">
        <v>4</v>
      </c>
      <c r="E8">
        <v>2</v>
      </c>
      <c r="M8" s="1" t="s">
        <v>13</v>
      </c>
      <c r="N8" s="2"/>
      <c r="O8" s="2"/>
      <c r="P8" s="2"/>
      <c r="Q8" s="2"/>
      <c r="S8" t="s">
        <v>14</v>
      </c>
    </row>
    <row r="9" spans="1:19" x14ac:dyDescent="0.3">
      <c r="A9" s="1"/>
      <c r="E9">
        <v>3</v>
      </c>
      <c r="M9" s="1" t="s">
        <v>15</v>
      </c>
      <c r="N9" s="2"/>
      <c r="O9" s="2"/>
      <c r="P9" s="2"/>
      <c r="Q9" s="2"/>
      <c r="S9" s="4">
        <f>SUM(N8:Q13)</f>
        <v>21</v>
      </c>
    </row>
    <row r="10" spans="1:19" x14ac:dyDescent="0.3">
      <c r="A10" s="1"/>
      <c r="E10">
        <v>3</v>
      </c>
      <c r="M10" s="1" t="s">
        <v>16</v>
      </c>
      <c r="N10" s="2">
        <v>1</v>
      </c>
      <c r="O10" s="2">
        <v>5</v>
      </c>
      <c r="P10" s="2">
        <v>2</v>
      </c>
      <c r="Q10" s="2"/>
    </row>
    <row r="11" spans="1:19" x14ac:dyDescent="0.3">
      <c r="A11" s="1"/>
      <c r="M11" s="1" t="s">
        <v>17</v>
      </c>
      <c r="N11" s="2">
        <v>1</v>
      </c>
      <c r="O11" s="2">
        <v>1</v>
      </c>
      <c r="P11" s="2">
        <v>5</v>
      </c>
      <c r="Q11" s="2">
        <v>3</v>
      </c>
    </row>
    <row r="12" spans="1:19" x14ac:dyDescent="0.3">
      <c r="A12" s="1"/>
      <c r="B12" s="2"/>
      <c r="C12" s="2"/>
      <c r="D12" s="2"/>
      <c r="E12" s="2"/>
      <c r="G12" t="s">
        <v>20</v>
      </c>
      <c r="M12" s="1" t="s">
        <v>18</v>
      </c>
      <c r="N12" s="2"/>
      <c r="O12" s="2">
        <v>1</v>
      </c>
      <c r="P12" s="2">
        <v>2</v>
      </c>
      <c r="Q12" s="2"/>
    </row>
    <row r="13" spans="1:19" x14ac:dyDescent="0.3">
      <c r="A13" s="1"/>
      <c r="B13" s="5">
        <f>AVERAGE(B2:B11)</f>
        <v>3.25</v>
      </c>
      <c r="C13" s="5">
        <f t="shared" ref="C13:E13" si="0">AVERAGE(C2:C11)</f>
        <v>4</v>
      </c>
      <c r="D13" s="5">
        <f t="shared" si="0"/>
        <v>3.8571428571428572</v>
      </c>
      <c r="E13" s="5">
        <f t="shared" si="0"/>
        <v>2.4444444444444446</v>
      </c>
      <c r="G13" s="6">
        <f>AVERAGE(B13:E13)</f>
        <v>3.3878968253968256</v>
      </c>
      <c r="M13" s="1" t="s">
        <v>19</v>
      </c>
      <c r="N13" s="2"/>
      <c r="O13" s="2"/>
      <c r="P13" s="2"/>
      <c r="Q13" s="2"/>
    </row>
    <row r="14" spans="1:19" x14ac:dyDescent="0.3">
      <c r="A14" s="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8260-A9F5-4AB1-8A59-E41C3D14160A}">
  <dimension ref="A1:S23"/>
  <sheetViews>
    <sheetView workbookViewId="0">
      <selection activeCell="S3" sqref="S3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3</v>
      </c>
      <c r="C2">
        <v>4</v>
      </c>
      <c r="D2">
        <v>4</v>
      </c>
      <c r="E2">
        <v>4</v>
      </c>
      <c r="M2" s="1" t="s">
        <v>7</v>
      </c>
      <c r="N2" s="2"/>
      <c r="O2" s="2"/>
      <c r="P2" s="2"/>
      <c r="Q2" s="2"/>
      <c r="S2" s="4">
        <f>SUM(N1:Q6)</f>
        <v>1</v>
      </c>
    </row>
    <row r="3" spans="1:19" x14ac:dyDescent="0.3">
      <c r="A3" s="1" t="s">
        <v>8</v>
      </c>
      <c r="B3">
        <v>4</v>
      </c>
      <c r="D3">
        <v>4</v>
      </c>
      <c r="E3">
        <v>4</v>
      </c>
      <c r="M3" s="1" t="s">
        <v>9</v>
      </c>
      <c r="N3" s="2"/>
      <c r="O3" s="2"/>
      <c r="P3" s="2"/>
      <c r="Q3" s="2">
        <v>1</v>
      </c>
    </row>
    <row r="4" spans="1:19" x14ac:dyDescent="0.3">
      <c r="A4" s="1"/>
      <c r="B4">
        <v>4</v>
      </c>
      <c r="D4">
        <v>4</v>
      </c>
      <c r="E4">
        <v>3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4</v>
      </c>
      <c r="D5">
        <v>3</v>
      </c>
      <c r="E5">
        <v>3</v>
      </c>
      <c r="M5" s="1" t="s">
        <v>11</v>
      </c>
      <c r="N5" s="2"/>
      <c r="O5" s="2"/>
      <c r="P5" s="2"/>
      <c r="Q5" s="2"/>
    </row>
    <row r="6" spans="1:19" x14ac:dyDescent="0.3">
      <c r="A6" s="1"/>
      <c r="B6">
        <v>4</v>
      </c>
      <c r="D6">
        <v>3</v>
      </c>
      <c r="E6">
        <v>3</v>
      </c>
      <c r="M6" s="1" t="s">
        <v>12</v>
      </c>
      <c r="N6" s="2"/>
      <c r="O6" s="2"/>
      <c r="P6" s="2"/>
      <c r="Q6" s="2"/>
    </row>
    <row r="7" spans="1:19" x14ac:dyDescent="0.3">
      <c r="A7" s="1"/>
      <c r="B7">
        <v>4</v>
      </c>
      <c r="D7">
        <v>3</v>
      </c>
      <c r="E7">
        <v>3</v>
      </c>
    </row>
    <row r="8" spans="1:19" x14ac:dyDescent="0.3">
      <c r="A8" s="1"/>
      <c r="B8">
        <v>4</v>
      </c>
      <c r="D8">
        <v>3</v>
      </c>
      <c r="E8">
        <v>3</v>
      </c>
      <c r="M8" s="1" t="s">
        <v>13</v>
      </c>
      <c r="N8" s="2">
        <v>6</v>
      </c>
      <c r="O8" s="2"/>
      <c r="P8" s="2"/>
      <c r="Q8" s="2">
        <v>6</v>
      </c>
      <c r="S8" t="s">
        <v>14</v>
      </c>
    </row>
    <row r="9" spans="1:19" x14ac:dyDescent="0.3">
      <c r="A9" s="1"/>
      <c r="B9">
        <v>4</v>
      </c>
      <c r="D9">
        <v>2</v>
      </c>
      <c r="E9">
        <v>3</v>
      </c>
      <c r="M9" s="1" t="s">
        <v>15</v>
      </c>
      <c r="N9" s="2"/>
      <c r="O9" s="2"/>
      <c r="P9" s="2"/>
      <c r="Q9" s="2"/>
      <c r="S9" s="4">
        <f>SUM(N8:Q13)</f>
        <v>38</v>
      </c>
    </row>
    <row r="10" spans="1:19" x14ac:dyDescent="0.3">
      <c r="A10" s="1"/>
      <c r="B10">
        <v>4</v>
      </c>
      <c r="D10">
        <v>2</v>
      </c>
      <c r="E10">
        <v>3</v>
      </c>
      <c r="M10" s="1" t="s">
        <v>16</v>
      </c>
      <c r="N10" s="2">
        <v>3</v>
      </c>
      <c r="O10" s="2">
        <v>1</v>
      </c>
      <c r="P10" s="2">
        <v>3</v>
      </c>
      <c r="Q10" s="2">
        <v>2</v>
      </c>
    </row>
    <row r="11" spans="1:19" x14ac:dyDescent="0.3">
      <c r="A11" s="1"/>
      <c r="B11">
        <v>2</v>
      </c>
      <c r="D11">
        <v>3</v>
      </c>
      <c r="M11" s="1" t="s">
        <v>17</v>
      </c>
      <c r="N11" s="2">
        <v>3</v>
      </c>
      <c r="O11" s="2"/>
      <c r="P11" s="2"/>
      <c r="Q11" s="2">
        <v>2</v>
      </c>
    </row>
    <row r="12" spans="1:19" x14ac:dyDescent="0.3">
      <c r="A12" s="1"/>
      <c r="D12">
        <v>4</v>
      </c>
      <c r="M12" s="1" t="s">
        <v>18</v>
      </c>
      <c r="N12" s="2">
        <v>1</v>
      </c>
      <c r="O12" s="2">
        <v>1</v>
      </c>
      <c r="P12" s="2">
        <v>2</v>
      </c>
      <c r="Q12" s="2">
        <v>2</v>
      </c>
    </row>
    <row r="13" spans="1:19" x14ac:dyDescent="0.3">
      <c r="A13" s="1"/>
      <c r="D13">
        <v>4</v>
      </c>
      <c r="M13" s="1" t="s">
        <v>19</v>
      </c>
      <c r="N13" s="2"/>
      <c r="O13" s="2"/>
      <c r="P13" s="2"/>
      <c r="Q13" s="2">
        <v>6</v>
      </c>
    </row>
    <row r="14" spans="1:19" x14ac:dyDescent="0.3">
      <c r="A14" s="1"/>
      <c r="D14">
        <v>4</v>
      </c>
    </row>
    <row r="15" spans="1:19" x14ac:dyDescent="0.3">
      <c r="D15">
        <v>4</v>
      </c>
    </row>
    <row r="16" spans="1:19" x14ac:dyDescent="0.3">
      <c r="D16">
        <v>4</v>
      </c>
    </row>
    <row r="17" spans="2:7" x14ac:dyDescent="0.3">
      <c r="D17">
        <v>4</v>
      </c>
    </row>
    <row r="18" spans="2:7" x14ac:dyDescent="0.3">
      <c r="D18">
        <v>4</v>
      </c>
    </row>
    <row r="19" spans="2:7" x14ac:dyDescent="0.3">
      <c r="D19">
        <v>4</v>
      </c>
    </row>
    <row r="22" spans="2:7" x14ac:dyDescent="0.3">
      <c r="B22" s="2"/>
      <c r="C22" s="2"/>
      <c r="D22" s="2"/>
      <c r="E22" s="2"/>
      <c r="G22" t="s">
        <v>20</v>
      </c>
    </row>
    <row r="23" spans="2:7" x14ac:dyDescent="0.3">
      <c r="B23" s="5">
        <f>AVERAGE(B2:B21)</f>
        <v>3.7</v>
      </c>
      <c r="C23" s="5">
        <f t="shared" ref="C23:E23" si="0">AVERAGE(C2:C21)</f>
        <v>4</v>
      </c>
      <c r="D23" s="5">
        <f t="shared" si="0"/>
        <v>3.5</v>
      </c>
      <c r="E23" s="5">
        <f t="shared" si="0"/>
        <v>3.2222222222222223</v>
      </c>
      <c r="G23" s="6">
        <f>AVERAGE(B23:E23)</f>
        <v>3.6055555555555552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9FDD-ED91-4B63-8E68-9D8CE7447403}">
  <dimension ref="A1:S23"/>
  <sheetViews>
    <sheetView workbookViewId="0">
      <selection activeCell="S3" sqref="S3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3</v>
      </c>
      <c r="C2">
        <v>4</v>
      </c>
      <c r="D2">
        <v>4</v>
      </c>
      <c r="E2">
        <v>4</v>
      </c>
      <c r="M2" s="1" t="s">
        <v>7</v>
      </c>
      <c r="N2" s="2"/>
      <c r="O2" s="2">
        <v>1</v>
      </c>
      <c r="P2" s="2"/>
      <c r="Q2" s="2"/>
      <c r="S2" s="4">
        <f>SUM(N1:Q6)</f>
        <v>1</v>
      </c>
    </row>
    <row r="3" spans="1:19" x14ac:dyDescent="0.3">
      <c r="A3" s="1" t="s">
        <v>8</v>
      </c>
      <c r="B3">
        <v>3</v>
      </c>
      <c r="C3">
        <v>5</v>
      </c>
      <c r="D3">
        <v>4</v>
      </c>
      <c r="E3">
        <v>4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3</v>
      </c>
      <c r="C4">
        <v>5</v>
      </c>
      <c r="D4">
        <v>4</v>
      </c>
      <c r="E4">
        <v>4</v>
      </c>
      <c r="M4" s="1" t="s">
        <v>10</v>
      </c>
      <c r="N4" s="2"/>
      <c r="O4" s="2"/>
      <c r="P4" s="2"/>
      <c r="Q4" s="2"/>
    </row>
    <row r="5" spans="1:19" x14ac:dyDescent="0.3">
      <c r="A5" s="1"/>
      <c r="C5">
        <v>5</v>
      </c>
      <c r="D5">
        <v>3</v>
      </c>
      <c r="E5">
        <v>4</v>
      </c>
      <c r="M5" s="1" t="s">
        <v>11</v>
      </c>
      <c r="N5" s="2"/>
      <c r="O5" s="2"/>
      <c r="P5" s="2"/>
      <c r="Q5" s="2"/>
    </row>
    <row r="6" spans="1:19" x14ac:dyDescent="0.3">
      <c r="A6" s="1"/>
      <c r="C6">
        <v>5</v>
      </c>
      <c r="D6">
        <v>4</v>
      </c>
      <c r="E6">
        <v>4</v>
      </c>
      <c r="M6" s="1" t="s">
        <v>12</v>
      </c>
      <c r="N6" s="2"/>
      <c r="O6" s="2"/>
      <c r="P6" s="2"/>
      <c r="Q6" s="2"/>
    </row>
    <row r="7" spans="1:19" x14ac:dyDescent="0.3">
      <c r="A7" s="1"/>
      <c r="D7">
        <v>4</v>
      </c>
      <c r="E7">
        <v>4</v>
      </c>
    </row>
    <row r="8" spans="1:19" x14ac:dyDescent="0.3">
      <c r="A8" s="1"/>
      <c r="D8">
        <v>4</v>
      </c>
      <c r="E8">
        <v>4</v>
      </c>
      <c r="M8" s="1" t="s">
        <v>13</v>
      </c>
      <c r="N8" s="2">
        <v>6</v>
      </c>
      <c r="O8" s="2">
        <v>1</v>
      </c>
      <c r="P8" s="2"/>
      <c r="Q8" s="2"/>
      <c r="S8" t="s">
        <v>14</v>
      </c>
    </row>
    <row r="9" spans="1:19" x14ac:dyDescent="0.3">
      <c r="A9" s="1"/>
      <c r="D9">
        <v>4</v>
      </c>
      <c r="E9">
        <v>4</v>
      </c>
      <c r="M9" s="1" t="s">
        <v>15</v>
      </c>
      <c r="N9" s="2">
        <v>1</v>
      </c>
      <c r="O9" s="2"/>
      <c r="P9" s="2"/>
      <c r="Q9" s="2"/>
      <c r="S9" s="4">
        <f>SUM(N8:Q13)</f>
        <v>34</v>
      </c>
    </row>
    <row r="10" spans="1:19" x14ac:dyDescent="0.3">
      <c r="A10" s="1"/>
      <c r="D10">
        <v>2</v>
      </c>
      <c r="E10">
        <v>4</v>
      </c>
      <c r="M10" s="1" t="s">
        <v>16</v>
      </c>
      <c r="N10" s="2">
        <v>3</v>
      </c>
      <c r="O10" s="2">
        <v>3</v>
      </c>
      <c r="P10" s="2">
        <v>1</v>
      </c>
      <c r="Q10" s="2">
        <v>3</v>
      </c>
    </row>
    <row r="11" spans="1:19" x14ac:dyDescent="0.3">
      <c r="A11" s="1"/>
      <c r="D11">
        <v>2</v>
      </c>
      <c r="E11">
        <v>4</v>
      </c>
      <c r="M11" s="1" t="s">
        <v>17</v>
      </c>
      <c r="N11" s="2">
        <v>2</v>
      </c>
      <c r="O11" s="2"/>
      <c r="P11" s="2"/>
      <c r="Q11" s="2">
        <v>3</v>
      </c>
    </row>
    <row r="12" spans="1:19" x14ac:dyDescent="0.3">
      <c r="A12" s="1"/>
      <c r="D12">
        <v>4</v>
      </c>
      <c r="E12">
        <v>4</v>
      </c>
      <c r="M12" s="1" t="s">
        <v>18</v>
      </c>
      <c r="N12" s="2"/>
      <c r="O12" s="2">
        <v>3</v>
      </c>
      <c r="P12" s="2">
        <v>5</v>
      </c>
      <c r="Q12" s="2">
        <v>3</v>
      </c>
    </row>
    <row r="13" spans="1:19" x14ac:dyDescent="0.3">
      <c r="A13" s="1"/>
      <c r="D13">
        <v>4</v>
      </c>
      <c r="E13">
        <v>4</v>
      </c>
      <c r="M13" s="1" t="s">
        <v>19</v>
      </c>
      <c r="N13" s="2"/>
      <c r="O13" s="2"/>
      <c r="P13" s="2"/>
      <c r="Q13" s="2"/>
    </row>
    <row r="14" spans="1:19" x14ac:dyDescent="0.3">
      <c r="A14" s="1"/>
      <c r="D14">
        <v>4</v>
      </c>
      <c r="E14">
        <v>4</v>
      </c>
    </row>
    <row r="15" spans="1:19" x14ac:dyDescent="0.3">
      <c r="D15">
        <v>4</v>
      </c>
      <c r="E15">
        <v>4</v>
      </c>
    </row>
    <row r="16" spans="1:19" x14ac:dyDescent="0.3">
      <c r="E16">
        <v>4</v>
      </c>
    </row>
    <row r="17" spans="2:7" x14ac:dyDescent="0.3">
      <c r="E17">
        <v>4</v>
      </c>
    </row>
    <row r="18" spans="2:7" x14ac:dyDescent="0.3">
      <c r="E18">
        <v>4</v>
      </c>
    </row>
    <row r="19" spans="2:7" x14ac:dyDescent="0.3">
      <c r="E19">
        <v>4</v>
      </c>
    </row>
    <row r="20" spans="2:7" x14ac:dyDescent="0.3">
      <c r="E20">
        <v>4</v>
      </c>
    </row>
    <row r="22" spans="2:7" x14ac:dyDescent="0.3">
      <c r="B22" s="2"/>
      <c r="C22" s="2"/>
      <c r="D22" s="2"/>
      <c r="E22" s="2"/>
      <c r="G22" t="s">
        <v>20</v>
      </c>
    </row>
    <row r="23" spans="2:7" x14ac:dyDescent="0.3">
      <c r="B23" s="5">
        <f>AVERAGE(B2:B21)</f>
        <v>3</v>
      </c>
      <c r="C23" s="5">
        <f t="shared" ref="C23:E23" si="0">AVERAGE(C2:C21)</f>
        <v>4.8</v>
      </c>
      <c r="D23" s="5">
        <f t="shared" si="0"/>
        <v>3.6428571428571428</v>
      </c>
      <c r="E23" s="5">
        <f t="shared" si="0"/>
        <v>4</v>
      </c>
      <c r="G23" s="6">
        <f>AVERAGE(B23:E23)</f>
        <v>3.8607142857142858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CA166-37AF-485A-9059-19E3DF978CB5}">
  <dimension ref="A1:S19"/>
  <sheetViews>
    <sheetView workbookViewId="0">
      <selection activeCell="S10" sqref="S10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3</v>
      </c>
      <c r="C2">
        <v>4</v>
      </c>
      <c r="D2">
        <v>4</v>
      </c>
      <c r="E2">
        <v>3</v>
      </c>
      <c r="M2" s="1" t="s">
        <v>7</v>
      </c>
      <c r="N2" s="2"/>
      <c r="O2" s="2"/>
      <c r="P2" s="2"/>
      <c r="Q2" s="2">
        <v>1</v>
      </c>
      <c r="S2" s="4">
        <f>SUM(N1:Q6)</f>
        <v>1</v>
      </c>
    </row>
    <row r="3" spans="1:19" x14ac:dyDescent="0.3">
      <c r="A3" s="1" t="s">
        <v>8</v>
      </c>
      <c r="C3">
        <v>4</v>
      </c>
      <c r="D3">
        <v>4</v>
      </c>
      <c r="E3">
        <v>3</v>
      </c>
      <c r="M3" s="1" t="s">
        <v>9</v>
      </c>
      <c r="N3" s="2"/>
      <c r="O3" s="2"/>
      <c r="P3" s="2"/>
      <c r="Q3" s="2"/>
    </row>
    <row r="4" spans="1:19" x14ac:dyDescent="0.3">
      <c r="A4" s="1"/>
      <c r="C4">
        <v>4</v>
      </c>
      <c r="D4">
        <v>4</v>
      </c>
      <c r="M4" s="1" t="s">
        <v>10</v>
      </c>
      <c r="N4" s="2"/>
      <c r="O4" s="2"/>
      <c r="P4" s="2"/>
      <c r="Q4" s="2"/>
    </row>
    <row r="5" spans="1:19" x14ac:dyDescent="0.3">
      <c r="A5" s="1"/>
      <c r="C5">
        <v>4</v>
      </c>
      <c r="D5">
        <v>4</v>
      </c>
      <c r="M5" s="1" t="s">
        <v>11</v>
      </c>
      <c r="N5" s="2"/>
      <c r="O5" s="2"/>
      <c r="P5" s="2"/>
      <c r="Q5" s="2"/>
    </row>
    <row r="6" spans="1:19" x14ac:dyDescent="0.3">
      <c r="A6" s="1"/>
      <c r="C6">
        <v>4</v>
      </c>
      <c r="D6">
        <v>4</v>
      </c>
      <c r="M6" s="1" t="s">
        <v>12</v>
      </c>
      <c r="N6" s="2"/>
      <c r="O6" s="2"/>
      <c r="P6" s="2"/>
      <c r="Q6" s="2"/>
    </row>
    <row r="7" spans="1:19" x14ac:dyDescent="0.3">
      <c r="A7" s="1"/>
      <c r="C7">
        <v>4</v>
      </c>
      <c r="D7">
        <v>4</v>
      </c>
    </row>
    <row r="8" spans="1:19" x14ac:dyDescent="0.3">
      <c r="A8" s="1"/>
      <c r="C8">
        <v>4</v>
      </c>
      <c r="D8">
        <v>4</v>
      </c>
      <c r="M8" s="1" t="s">
        <v>13</v>
      </c>
      <c r="N8" s="2"/>
      <c r="O8" s="2">
        <v>1</v>
      </c>
      <c r="P8" s="2">
        <v>1</v>
      </c>
      <c r="Q8" s="2"/>
      <c r="S8" t="s">
        <v>14</v>
      </c>
    </row>
    <row r="9" spans="1:19" x14ac:dyDescent="0.3">
      <c r="A9" s="1"/>
      <c r="D9">
        <v>4</v>
      </c>
      <c r="M9" s="1" t="s">
        <v>15</v>
      </c>
      <c r="N9" s="2"/>
      <c r="O9" s="2"/>
      <c r="P9" s="2"/>
      <c r="Q9" s="2"/>
      <c r="S9" s="4">
        <f>SUM(N8:Q13)</f>
        <v>37</v>
      </c>
    </row>
    <row r="10" spans="1:19" x14ac:dyDescent="0.3">
      <c r="A10" s="1"/>
      <c r="D10">
        <v>4</v>
      </c>
      <c r="M10" s="1" t="s">
        <v>16</v>
      </c>
      <c r="N10" s="2"/>
      <c r="O10" s="2"/>
      <c r="P10" s="2"/>
      <c r="Q10" s="2">
        <v>3</v>
      </c>
    </row>
    <row r="11" spans="1:19" x14ac:dyDescent="0.3">
      <c r="A11" s="1"/>
      <c r="D11">
        <v>4</v>
      </c>
      <c r="M11" s="1" t="s">
        <v>17</v>
      </c>
      <c r="N11" s="2">
        <v>4</v>
      </c>
      <c r="O11" s="2">
        <v>6</v>
      </c>
      <c r="P11" s="2">
        <v>3</v>
      </c>
      <c r="Q11" s="2"/>
    </row>
    <row r="12" spans="1:19" x14ac:dyDescent="0.3">
      <c r="A12" s="1"/>
      <c r="D12">
        <v>4</v>
      </c>
      <c r="M12" s="1" t="s">
        <v>18</v>
      </c>
      <c r="N12" s="2">
        <v>1</v>
      </c>
      <c r="O12" s="2">
        <v>2</v>
      </c>
      <c r="P12" s="2"/>
      <c r="Q12" s="2">
        <v>1</v>
      </c>
    </row>
    <row r="13" spans="1:19" x14ac:dyDescent="0.3">
      <c r="A13" s="1"/>
      <c r="D13">
        <v>4</v>
      </c>
      <c r="M13" s="1" t="s">
        <v>19</v>
      </c>
      <c r="N13" s="2">
        <v>4</v>
      </c>
      <c r="O13" s="2">
        <v>11</v>
      </c>
      <c r="P13" s="2"/>
      <c r="Q13" s="2"/>
    </row>
    <row r="14" spans="1:19" x14ac:dyDescent="0.3">
      <c r="A14" s="1"/>
      <c r="D14">
        <v>4</v>
      </c>
    </row>
    <row r="15" spans="1:19" x14ac:dyDescent="0.3">
      <c r="D15">
        <v>4</v>
      </c>
    </row>
    <row r="18" spans="2:7" x14ac:dyDescent="0.3">
      <c r="B18" s="2"/>
      <c r="C18" s="2"/>
      <c r="D18" s="2"/>
      <c r="E18" s="2"/>
      <c r="G18" t="s">
        <v>20</v>
      </c>
    </row>
    <row r="19" spans="2:7" x14ac:dyDescent="0.3">
      <c r="B19" s="5">
        <f>AVERAGE(B2:B17)</f>
        <v>3</v>
      </c>
      <c r="C19" s="5">
        <f t="shared" ref="C19:E19" si="0">AVERAGE(C2:C17)</f>
        <v>4</v>
      </c>
      <c r="D19" s="5">
        <f t="shared" si="0"/>
        <v>4</v>
      </c>
      <c r="E19" s="5">
        <f t="shared" si="0"/>
        <v>3</v>
      </c>
      <c r="G19" s="6">
        <f>AVERAGE(B19:E19)</f>
        <v>3.5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B24F-D86F-452C-8043-F5B764B5DE9E}">
  <dimension ref="A1:S18"/>
  <sheetViews>
    <sheetView workbookViewId="0">
      <selection activeCell="S3" sqref="S3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5</v>
      </c>
      <c r="C2">
        <v>4</v>
      </c>
      <c r="D2">
        <v>4</v>
      </c>
      <c r="E2">
        <v>4</v>
      </c>
      <c r="M2" s="1" t="s">
        <v>7</v>
      </c>
      <c r="N2" s="2">
        <v>2</v>
      </c>
      <c r="O2" s="2"/>
      <c r="P2" s="2"/>
      <c r="Q2" s="2"/>
      <c r="S2" s="4">
        <f>SUM(N1:Q6)</f>
        <v>2</v>
      </c>
    </row>
    <row r="3" spans="1:19" x14ac:dyDescent="0.3">
      <c r="A3" s="1" t="s">
        <v>8</v>
      </c>
      <c r="B3">
        <v>4</v>
      </c>
      <c r="C3">
        <v>4</v>
      </c>
      <c r="D3">
        <v>4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4</v>
      </c>
      <c r="C4">
        <v>3</v>
      </c>
      <c r="D4">
        <v>4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4</v>
      </c>
      <c r="C5">
        <v>3</v>
      </c>
      <c r="D5">
        <v>4</v>
      </c>
      <c r="M5" s="1" t="s">
        <v>11</v>
      </c>
      <c r="N5" s="2"/>
      <c r="O5" s="2"/>
      <c r="P5" s="2"/>
      <c r="Q5" s="2"/>
    </row>
    <row r="6" spans="1:19" x14ac:dyDescent="0.3">
      <c r="A6" s="1"/>
      <c r="D6">
        <v>4</v>
      </c>
      <c r="M6" s="1" t="s">
        <v>12</v>
      </c>
      <c r="N6" s="2"/>
      <c r="O6" s="2"/>
      <c r="P6" s="2"/>
      <c r="Q6" s="2"/>
    </row>
    <row r="7" spans="1:19" x14ac:dyDescent="0.3">
      <c r="A7" s="1"/>
      <c r="D7">
        <v>3</v>
      </c>
    </row>
    <row r="8" spans="1:19" x14ac:dyDescent="0.3">
      <c r="A8" s="1"/>
      <c r="D8">
        <v>3</v>
      </c>
      <c r="M8" s="1" t="s">
        <v>13</v>
      </c>
      <c r="N8" s="2"/>
      <c r="O8" s="2">
        <v>2</v>
      </c>
      <c r="P8" s="2">
        <v>1</v>
      </c>
      <c r="Q8" s="2"/>
      <c r="S8" t="s">
        <v>14</v>
      </c>
    </row>
    <row r="9" spans="1:19" x14ac:dyDescent="0.3">
      <c r="A9" s="1"/>
      <c r="D9">
        <v>4</v>
      </c>
      <c r="M9" s="1" t="s">
        <v>15</v>
      </c>
      <c r="N9" s="2"/>
      <c r="O9" s="2"/>
      <c r="P9" s="2"/>
      <c r="Q9" s="2"/>
      <c r="S9" s="4">
        <f>SUM(N8:Q13)</f>
        <v>32</v>
      </c>
    </row>
    <row r="10" spans="1:19" x14ac:dyDescent="0.3">
      <c r="A10" s="1"/>
      <c r="D10">
        <v>4</v>
      </c>
      <c r="M10" s="1" t="s">
        <v>16</v>
      </c>
      <c r="N10" s="2">
        <v>3</v>
      </c>
      <c r="O10" s="2">
        <v>2</v>
      </c>
      <c r="P10" s="2">
        <v>4</v>
      </c>
      <c r="Q10" s="2">
        <v>1</v>
      </c>
    </row>
    <row r="11" spans="1:19" x14ac:dyDescent="0.3">
      <c r="A11" s="1"/>
      <c r="D11">
        <v>4</v>
      </c>
      <c r="M11" s="1" t="s">
        <v>17</v>
      </c>
      <c r="N11" s="2"/>
      <c r="O11" s="2">
        <v>2</v>
      </c>
      <c r="P11" s="2">
        <v>2</v>
      </c>
      <c r="Q11" s="2">
        <v>1</v>
      </c>
    </row>
    <row r="12" spans="1:19" x14ac:dyDescent="0.3">
      <c r="A12" s="1"/>
      <c r="D12">
        <v>4</v>
      </c>
      <c r="M12" s="1" t="s">
        <v>18</v>
      </c>
      <c r="N12" s="2">
        <v>1</v>
      </c>
      <c r="O12" s="2">
        <v>1</v>
      </c>
      <c r="P12" s="2"/>
      <c r="Q12" s="2">
        <v>5</v>
      </c>
    </row>
    <row r="13" spans="1:19" x14ac:dyDescent="0.3">
      <c r="A13" s="1"/>
      <c r="D13">
        <v>4</v>
      </c>
      <c r="M13" s="1" t="s">
        <v>19</v>
      </c>
      <c r="N13" s="2"/>
      <c r="O13" s="2">
        <v>3</v>
      </c>
      <c r="P13" s="2">
        <v>3</v>
      </c>
      <c r="Q13" s="2">
        <v>1</v>
      </c>
    </row>
    <row r="14" spans="1:19" x14ac:dyDescent="0.3">
      <c r="A14" s="1"/>
      <c r="D14">
        <v>4</v>
      </c>
    </row>
    <row r="15" spans="1:19" x14ac:dyDescent="0.3">
      <c r="D15">
        <v>4</v>
      </c>
    </row>
    <row r="17" spans="2:7" x14ac:dyDescent="0.3">
      <c r="B17" s="2"/>
      <c r="C17" s="2"/>
      <c r="D17" s="2"/>
      <c r="E17" s="2"/>
      <c r="G17" t="s">
        <v>20</v>
      </c>
    </row>
    <row r="18" spans="2:7" x14ac:dyDescent="0.3">
      <c r="B18" s="5">
        <f>AVERAGE(B2:B16)</f>
        <v>4.25</v>
      </c>
      <c r="C18" s="5">
        <f t="shared" ref="C18:E18" si="0">AVERAGE(C2:C16)</f>
        <v>3.5</v>
      </c>
      <c r="D18" s="5">
        <f t="shared" si="0"/>
        <v>3.8571428571428572</v>
      </c>
      <c r="E18" s="5">
        <f t="shared" si="0"/>
        <v>4</v>
      </c>
      <c r="G18" s="6">
        <f>AVERAGE(B18:E18)</f>
        <v>3.9017857142857144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86236-38D1-419D-B8AC-EBCD72A7C473}">
  <dimension ref="A1:S16"/>
  <sheetViews>
    <sheetView zoomScale="89" workbookViewId="0">
      <selection activeCell="S10" sqref="S10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4</v>
      </c>
      <c r="C2">
        <v>5</v>
      </c>
      <c r="D2">
        <v>5</v>
      </c>
      <c r="E2">
        <v>3</v>
      </c>
      <c r="M2" s="1" t="s">
        <v>7</v>
      </c>
      <c r="N2" s="2"/>
      <c r="O2" s="2"/>
      <c r="P2" s="2"/>
      <c r="Q2" s="2"/>
      <c r="S2" s="4">
        <v>0</v>
      </c>
    </row>
    <row r="3" spans="1:19" x14ac:dyDescent="0.3">
      <c r="A3" s="1" t="s">
        <v>8</v>
      </c>
      <c r="B3">
        <v>4</v>
      </c>
      <c r="C3">
        <v>4</v>
      </c>
      <c r="D3">
        <v>4</v>
      </c>
      <c r="E3">
        <v>3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5</v>
      </c>
      <c r="C4">
        <v>4</v>
      </c>
      <c r="D4">
        <v>4</v>
      </c>
      <c r="E4">
        <v>3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5</v>
      </c>
      <c r="C5">
        <v>4</v>
      </c>
      <c r="D5">
        <v>4</v>
      </c>
      <c r="E5">
        <v>3</v>
      </c>
      <c r="M5" s="1" t="s">
        <v>11</v>
      </c>
      <c r="N5" s="2"/>
      <c r="O5" s="2"/>
      <c r="P5" s="2"/>
      <c r="Q5" s="2"/>
    </row>
    <row r="6" spans="1:19" x14ac:dyDescent="0.3">
      <c r="A6" s="1"/>
      <c r="D6">
        <v>4</v>
      </c>
      <c r="E6">
        <v>3</v>
      </c>
      <c r="M6" s="1" t="s">
        <v>12</v>
      </c>
      <c r="N6" s="2"/>
      <c r="O6" s="2"/>
      <c r="P6" s="2"/>
      <c r="Q6" s="2"/>
    </row>
    <row r="7" spans="1:19" x14ac:dyDescent="0.3">
      <c r="A7" s="1"/>
      <c r="D7">
        <v>4</v>
      </c>
      <c r="E7">
        <v>3</v>
      </c>
    </row>
    <row r="8" spans="1:19" x14ac:dyDescent="0.3">
      <c r="A8" s="1"/>
      <c r="D8">
        <v>4</v>
      </c>
      <c r="E8">
        <v>3</v>
      </c>
      <c r="M8" s="1" t="s">
        <v>13</v>
      </c>
      <c r="N8" s="2"/>
      <c r="O8" s="2"/>
      <c r="P8" s="2"/>
      <c r="Q8" s="2"/>
      <c r="S8" t="s">
        <v>14</v>
      </c>
    </row>
    <row r="9" spans="1:19" x14ac:dyDescent="0.3">
      <c r="A9" s="1"/>
      <c r="D9">
        <v>4</v>
      </c>
      <c r="E9">
        <v>3</v>
      </c>
      <c r="M9" s="1" t="s">
        <v>15</v>
      </c>
      <c r="N9" s="2"/>
      <c r="O9" s="2">
        <v>1</v>
      </c>
      <c r="P9" s="2"/>
      <c r="Q9" s="2"/>
      <c r="S9" s="4">
        <f>SUM(N8:Q13)</f>
        <v>25</v>
      </c>
    </row>
    <row r="10" spans="1:19" x14ac:dyDescent="0.3">
      <c r="A10" s="1"/>
      <c r="E10">
        <v>4</v>
      </c>
      <c r="M10" s="1" t="s">
        <v>16</v>
      </c>
      <c r="N10" s="2"/>
      <c r="O10" s="2"/>
      <c r="P10" s="2"/>
      <c r="Q10" s="2">
        <v>1</v>
      </c>
    </row>
    <row r="11" spans="1:19" x14ac:dyDescent="0.3">
      <c r="A11" s="1"/>
      <c r="E11">
        <v>3</v>
      </c>
      <c r="M11" s="1" t="s">
        <v>17</v>
      </c>
      <c r="N11" s="2">
        <v>4</v>
      </c>
      <c r="O11" s="2">
        <v>4</v>
      </c>
      <c r="P11" s="2">
        <v>5</v>
      </c>
      <c r="Q11" s="2">
        <v>1</v>
      </c>
    </row>
    <row r="12" spans="1:19" x14ac:dyDescent="0.3">
      <c r="A12" s="1"/>
      <c r="E12">
        <v>3</v>
      </c>
      <c r="M12" s="1" t="s">
        <v>18</v>
      </c>
      <c r="N12" s="2">
        <v>1</v>
      </c>
      <c r="O12" s="2">
        <v>1</v>
      </c>
      <c r="P12" s="2">
        <v>1</v>
      </c>
      <c r="Q12" s="2">
        <v>1</v>
      </c>
    </row>
    <row r="13" spans="1:19" x14ac:dyDescent="0.3">
      <c r="A13" s="1"/>
      <c r="M13" s="1" t="s">
        <v>19</v>
      </c>
      <c r="N13" s="2">
        <v>1</v>
      </c>
      <c r="O13" s="2">
        <v>3</v>
      </c>
      <c r="P13" s="2">
        <v>1</v>
      </c>
      <c r="Q13" s="2"/>
    </row>
    <row r="14" spans="1:19" x14ac:dyDescent="0.3">
      <c r="A14" s="1"/>
    </row>
    <row r="15" spans="1:19" x14ac:dyDescent="0.3">
      <c r="B15" s="2"/>
      <c r="C15" s="2"/>
      <c r="D15" s="2"/>
      <c r="E15" s="2"/>
      <c r="G15" t="s">
        <v>20</v>
      </c>
    </row>
    <row r="16" spans="1:19" x14ac:dyDescent="0.3">
      <c r="B16" s="5">
        <f>AVERAGE(B2:B14)</f>
        <v>4.5</v>
      </c>
      <c r="C16" s="5">
        <f t="shared" ref="C16:E16" si="0">AVERAGE(C2:C14)</f>
        <v>4.25</v>
      </c>
      <c r="D16" s="5">
        <f t="shared" si="0"/>
        <v>4.125</v>
      </c>
      <c r="E16" s="5">
        <f t="shared" si="0"/>
        <v>3.0909090909090908</v>
      </c>
      <c r="G16" s="6">
        <f>AVERAGE(B16:E16)</f>
        <v>3.9914772727272725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02F1D-77A0-48D8-8C58-55B729CA26CE}">
  <dimension ref="A1:S14"/>
  <sheetViews>
    <sheetView zoomScale="90" workbookViewId="0">
      <selection activeCell="S3" sqref="S3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4</v>
      </c>
      <c r="C2">
        <v>3</v>
      </c>
      <c r="D2">
        <v>4</v>
      </c>
      <c r="E2">
        <v>5</v>
      </c>
      <c r="M2" s="1" t="s">
        <v>7</v>
      </c>
      <c r="N2" s="2"/>
      <c r="O2" s="2"/>
      <c r="P2" s="2"/>
      <c r="Q2" s="2"/>
      <c r="S2" s="4">
        <v>0</v>
      </c>
    </row>
    <row r="3" spans="1:19" x14ac:dyDescent="0.3">
      <c r="A3" s="1" t="s">
        <v>8</v>
      </c>
      <c r="B3">
        <v>5</v>
      </c>
      <c r="C3">
        <v>2</v>
      </c>
      <c r="D3">
        <v>4</v>
      </c>
      <c r="E3">
        <v>4</v>
      </c>
      <c r="M3" s="1" t="s">
        <v>9</v>
      </c>
      <c r="N3" s="2"/>
      <c r="O3" s="2"/>
      <c r="P3" s="2"/>
      <c r="Q3" s="2"/>
    </row>
    <row r="4" spans="1:19" x14ac:dyDescent="0.3">
      <c r="A4" s="1"/>
      <c r="B4">
        <v>4</v>
      </c>
      <c r="C4">
        <v>3</v>
      </c>
      <c r="D4">
        <v>4</v>
      </c>
      <c r="E4">
        <v>4</v>
      </c>
      <c r="M4" s="1" t="s">
        <v>10</v>
      </c>
      <c r="N4" s="2"/>
      <c r="O4" s="2"/>
      <c r="P4" s="2"/>
      <c r="Q4" s="2"/>
    </row>
    <row r="5" spans="1:19" x14ac:dyDescent="0.3">
      <c r="A5" s="1"/>
      <c r="B5">
        <v>3</v>
      </c>
      <c r="C5">
        <v>3</v>
      </c>
      <c r="D5">
        <v>3</v>
      </c>
      <c r="E5">
        <v>4</v>
      </c>
      <c r="M5" s="1" t="s">
        <v>11</v>
      </c>
      <c r="N5" s="2"/>
      <c r="O5" s="2"/>
      <c r="P5" s="2"/>
      <c r="Q5" s="2"/>
    </row>
    <row r="6" spans="1:19" x14ac:dyDescent="0.3">
      <c r="A6" s="1"/>
      <c r="B6">
        <v>3</v>
      </c>
      <c r="C6">
        <v>4</v>
      </c>
      <c r="D6">
        <v>3</v>
      </c>
      <c r="E6">
        <v>5</v>
      </c>
      <c r="M6" s="1" t="s">
        <v>12</v>
      </c>
      <c r="N6" s="2"/>
      <c r="O6" s="2"/>
      <c r="P6" s="2"/>
      <c r="Q6" s="2"/>
    </row>
    <row r="7" spans="1:19" x14ac:dyDescent="0.3">
      <c r="A7" s="1"/>
      <c r="D7">
        <v>3</v>
      </c>
      <c r="E7">
        <v>4</v>
      </c>
    </row>
    <row r="8" spans="1:19" x14ac:dyDescent="0.3">
      <c r="A8" s="1"/>
      <c r="D8">
        <v>3</v>
      </c>
      <c r="E8">
        <v>4</v>
      </c>
      <c r="M8" s="1" t="s">
        <v>13</v>
      </c>
      <c r="N8" s="2"/>
      <c r="O8" s="2"/>
      <c r="P8" s="2"/>
      <c r="Q8" s="2"/>
      <c r="S8" t="s">
        <v>14</v>
      </c>
    </row>
    <row r="9" spans="1:19" x14ac:dyDescent="0.3">
      <c r="A9" s="1"/>
      <c r="E9">
        <v>3</v>
      </c>
      <c r="M9" s="1" t="s">
        <v>15</v>
      </c>
      <c r="N9" s="2"/>
      <c r="O9" s="2"/>
      <c r="P9" s="2"/>
      <c r="Q9" s="2"/>
      <c r="S9" s="4">
        <f>SUM(N8:Q13)</f>
        <v>32</v>
      </c>
    </row>
    <row r="10" spans="1:19" x14ac:dyDescent="0.3">
      <c r="A10" s="1"/>
      <c r="M10" s="1" t="s">
        <v>16</v>
      </c>
      <c r="N10" s="2">
        <v>2</v>
      </c>
      <c r="O10" s="2">
        <v>2</v>
      </c>
      <c r="P10" s="2">
        <v>1</v>
      </c>
      <c r="Q10" s="2"/>
    </row>
    <row r="11" spans="1:19" x14ac:dyDescent="0.3">
      <c r="A11" s="1"/>
      <c r="M11" s="1" t="s">
        <v>17</v>
      </c>
      <c r="N11" s="2">
        <v>4</v>
      </c>
      <c r="O11" s="2">
        <v>7</v>
      </c>
      <c r="P11" s="2">
        <v>2</v>
      </c>
      <c r="Q11" s="2">
        <v>3</v>
      </c>
    </row>
    <row r="12" spans="1:19" x14ac:dyDescent="0.3">
      <c r="A12" s="1"/>
      <c r="M12" s="1" t="s">
        <v>18</v>
      </c>
      <c r="N12" s="2">
        <v>1</v>
      </c>
      <c r="O12" s="2">
        <v>3</v>
      </c>
      <c r="P12" s="2">
        <v>4</v>
      </c>
      <c r="Q12" s="2">
        <v>1</v>
      </c>
    </row>
    <row r="13" spans="1:19" x14ac:dyDescent="0.3">
      <c r="A13" s="1"/>
      <c r="B13" s="2"/>
      <c r="C13" s="2"/>
      <c r="D13" s="2"/>
      <c r="E13" s="2"/>
      <c r="G13" t="s">
        <v>20</v>
      </c>
      <c r="M13" s="1" t="s">
        <v>19</v>
      </c>
      <c r="N13" s="2"/>
      <c r="O13" s="2">
        <v>1</v>
      </c>
      <c r="P13" s="2"/>
      <c r="Q13" s="2">
        <v>1</v>
      </c>
    </row>
    <row r="14" spans="1:19" x14ac:dyDescent="0.3">
      <c r="A14" s="1"/>
      <c r="B14" s="5">
        <f>AVERAGE(B2:B12)</f>
        <v>3.8</v>
      </c>
      <c r="C14" s="5">
        <f t="shared" ref="C14:E14" si="0">AVERAGE(C2:C12)</f>
        <v>3</v>
      </c>
      <c r="D14" s="5">
        <f t="shared" si="0"/>
        <v>3.4285714285714284</v>
      </c>
      <c r="E14" s="5">
        <f t="shared" si="0"/>
        <v>4.125</v>
      </c>
      <c r="G14" s="6">
        <f>AVERAGE(B14:E14)</f>
        <v>3.5883928571428569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6B7D9-18C1-49FB-B222-9ED0072F2D34}">
  <dimension ref="A1:S14"/>
  <sheetViews>
    <sheetView workbookViewId="0">
      <selection activeCell="E15" sqref="E15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4</v>
      </c>
      <c r="C2">
        <v>4</v>
      </c>
      <c r="E2">
        <v>4</v>
      </c>
      <c r="M2" s="1" t="s">
        <v>7</v>
      </c>
      <c r="N2" s="2"/>
      <c r="O2" s="2"/>
      <c r="P2" s="2"/>
      <c r="Q2" s="2"/>
      <c r="S2" s="4">
        <v>0</v>
      </c>
    </row>
    <row r="3" spans="1:19" x14ac:dyDescent="0.3">
      <c r="A3" s="1" t="s">
        <v>8</v>
      </c>
      <c r="B3">
        <v>4</v>
      </c>
      <c r="C3">
        <v>4</v>
      </c>
      <c r="E3">
        <v>4</v>
      </c>
      <c r="M3" s="1" t="s">
        <v>9</v>
      </c>
      <c r="N3" s="2"/>
      <c r="O3" s="2"/>
      <c r="P3" s="2"/>
      <c r="Q3" s="2"/>
    </row>
    <row r="4" spans="1:19" x14ac:dyDescent="0.3">
      <c r="A4" s="1"/>
      <c r="C4">
        <v>4</v>
      </c>
      <c r="E4">
        <v>3</v>
      </c>
      <c r="M4" s="1" t="s">
        <v>10</v>
      </c>
      <c r="N4" s="2"/>
      <c r="O4" s="2"/>
      <c r="P4" s="2"/>
      <c r="Q4" s="2"/>
    </row>
    <row r="5" spans="1:19" x14ac:dyDescent="0.3">
      <c r="A5" s="1"/>
      <c r="C5">
        <v>4</v>
      </c>
      <c r="E5">
        <v>5</v>
      </c>
      <c r="M5" s="1" t="s">
        <v>11</v>
      </c>
      <c r="N5" s="2"/>
      <c r="O5" s="2"/>
      <c r="P5" s="2"/>
      <c r="Q5" s="2"/>
    </row>
    <row r="6" spans="1:19" x14ac:dyDescent="0.3">
      <c r="A6" s="1"/>
      <c r="C6">
        <v>4</v>
      </c>
      <c r="E6">
        <v>2</v>
      </c>
      <c r="M6" s="1" t="s">
        <v>12</v>
      </c>
      <c r="N6" s="2"/>
      <c r="O6" s="2"/>
      <c r="P6" s="2"/>
      <c r="Q6" s="2"/>
    </row>
    <row r="7" spans="1:19" x14ac:dyDescent="0.3">
      <c r="A7" s="1"/>
      <c r="C7">
        <v>5</v>
      </c>
      <c r="E7">
        <v>2</v>
      </c>
    </row>
    <row r="8" spans="1:19" x14ac:dyDescent="0.3">
      <c r="A8" s="1"/>
      <c r="C8">
        <v>5</v>
      </c>
      <c r="E8">
        <v>4</v>
      </c>
      <c r="M8" s="1" t="s">
        <v>13</v>
      </c>
      <c r="N8" s="2"/>
      <c r="O8" s="2"/>
      <c r="P8" s="2"/>
      <c r="Q8" s="2"/>
      <c r="S8" t="s">
        <v>14</v>
      </c>
    </row>
    <row r="9" spans="1:19" x14ac:dyDescent="0.3">
      <c r="A9" s="1"/>
      <c r="C9">
        <v>4</v>
      </c>
      <c r="E9">
        <v>3</v>
      </c>
      <c r="M9" s="1" t="s">
        <v>15</v>
      </c>
      <c r="N9" s="2"/>
      <c r="O9" s="2"/>
      <c r="P9" s="2"/>
      <c r="Q9" s="2"/>
      <c r="S9" s="4">
        <f>SUM(N8:Q13)</f>
        <v>27</v>
      </c>
    </row>
    <row r="10" spans="1:19" x14ac:dyDescent="0.3">
      <c r="A10" s="1"/>
      <c r="M10" s="1" t="s">
        <v>16</v>
      </c>
      <c r="N10" s="2">
        <v>1</v>
      </c>
      <c r="O10" s="2"/>
      <c r="P10" s="2"/>
      <c r="Q10" s="2">
        <v>1</v>
      </c>
    </row>
    <row r="11" spans="1:19" x14ac:dyDescent="0.3">
      <c r="A11" s="1"/>
      <c r="B11" s="2"/>
      <c r="C11" s="2"/>
      <c r="D11" s="2"/>
      <c r="E11" s="2"/>
      <c r="G11" t="s">
        <v>20</v>
      </c>
      <c r="M11" s="1" t="s">
        <v>17</v>
      </c>
      <c r="N11" s="2">
        <v>4</v>
      </c>
      <c r="O11" s="2">
        <v>6</v>
      </c>
      <c r="P11" s="2">
        <v>5</v>
      </c>
      <c r="Q11" s="2">
        <v>3</v>
      </c>
    </row>
    <row r="12" spans="1:19" x14ac:dyDescent="0.3">
      <c r="A12" s="1"/>
      <c r="B12" s="5">
        <f>AVERAGE(B2:B9)</f>
        <v>4</v>
      </c>
      <c r="C12" s="5">
        <f t="shared" ref="C12:E12" si="0">AVERAGE(C2:C9)</f>
        <v>4.25</v>
      </c>
      <c r="D12" s="5"/>
      <c r="E12" s="5">
        <f t="shared" si="0"/>
        <v>3.375</v>
      </c>
      <c r="G12" s="6">
        <f>AVERAGE(B12:E12)</f>
        <v>3.875</v>
      </c>
      <c r="M12" s="1" t="s">
        <v>18</v>
      </c>
      <c r="N12" s="2"/>
      <c r="O12" s="2">
        <v>1</v>
      </c>
      <c r="P12" s="2"/>
      <c r="Q12" s="2"/>
    </row>
    <row r="13" spans="1:19" x14ac:dyDescent="0.3">
      <c r="A13" s="1"/>
      <c r="M13" s="1" t="s">
        <v>19</v>
      </c>
      <c r="N13" s="2"/>
      <c r="O13" s="2">
        <v>3</v>
      </c>
      <c r="P13" s="2">
        <v>3</v>
      </c>
      <c r="Q13" s="2"/>
    </row>
    <row r="14" spans="1:19" x14ac:dyDescent="0.3">
      <c r="A14" s="1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39921-5F55-4D4B-8700-D441A66E56F0}">
  <dimension ref="A1:S21"/>
  <sheetViews>
    <sheetView zoomScale="68" workbookViewId="0">
      <selection activeCell="S10" sqref="S10"/>
    </sheetView>
  </sheetViews>
  <sheetFormatPr defaultRowHeight="14.4" x14ac:dyDescent="0.3"/>
  <cols>
    <col min="2" max="2" width="11.21875" customWidth="1"/>
  </cols>
  <sheetData>
    <row r="1" spans="1:19" x14ac:dyDescent="0.3">
      <c r="A1" s="1"/>
      <c r="B1" s="4"/>
      <c r="C1" s="2"/>
      <c r="D1" s="2"/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E2">
        <v>4</v>
      </c>
      <c r="M2" s="1" t="s">
        <v>7</v>
      </c>
      <c r="N2" s="2"/>
      <c r="O2" s="2"/>
      <c r="P2" s="2"/>
      <c r="Q2" s="2"/>
      <c r="S2" s="4">
        <v>0</v>
      </c>
    </row>
    <row r="3" spans="1:19" x14ac:dyDescent="0.3">
      <c r="A3" s="1" t="s">
        <v>8</v>
      </c>
      <c r="E3">
        <v>4</v>
      </c>
      <c r="M3" s="1" t="s">
        <v>9</v>
      </c>
      <c r="N3" s="2"/>
      <c r="O3" s="2"/>
      <c r="P3" s="2"/>
      <c r="Q3" s="2"/>
    </row>
    <row r="4" spans="1:19" x14ac:dyDescent="0.3">
      <c r="A4" s="1"/>
      <c r="E4">
        <v>4</v>
      </c>
      <c r="M4" s="1" t="s">
        <v>10</v>
      </c>
      <c r="N4" s="2"/>
      <c r="O4" s="2"/>
      <c r="P4" s="2"/>
      <c r="Q4" s="2"/>
    </row>
    <row r="5" spans="1:19" x14ac:dyDescent="0.3">
      <c r="A5" s="1"/>
      <c r="E5">
        <v>4</v>
      </c>
      <c r="M5" s="1" t="s">
        <v>11</v>
      </c>
      <c r="N5" s="2"/>
      <c r="O5" s="2"/>
      <c r="P5" s="2"/>
      <c r="Q5" s="2"/>
    </row>
    <row r="6" spans="1:19" x14ac:dyDescent="0.3">
      <c r="A6" s="1"/>
      <c r="E6">
        <v>3</v>
      </c>
      <c r="M6" s="1" t="s">
        <v>12</v>
      </c>
      <c r="N6" s="2"/>
      <c r="O6" s="2"/>
      <c r="P6" s="2"/>
      <c r="Q6" s="2"/>
    </row>
    <row r="7" spans="1:19" x14ac:dyDescent="0.3">
      <c r="A7" s="1"/>
      <c r="E7">
        <v>4</v>
      </c>
    </row>
    <row r="8" spans="1:19" x14ac:dyDescent="0.3">
      <c r="A8" s="1"/>
      <c r="E8">
        <v>4</v>
      </c>
      <c r="M8" s="1" t="s">
        <v>13</v>
      </c>
      <c r="N8" s="2"/>
      <c r="O8" s="2"/>
      <c r="P8" s="2"/>
      <c r="Q8" s="2"/>
      <c r="S8" t="s">
        <v>14</v>
      </c>
    </row>
    <row r="9" spans="1:19" x14ac:dyDescent="0.3">
      <c r="A9" s="1"/>
      <c r="E9">
        <v>4</v>
      </c>
      <c r="M9" s="1" t="s">
        <v>15</v>
      </c>
      <c r="N9" s="2"/>
      <c r="O9" s="2"/>
      <c r="P9" s="2"/>
      <c r="Q9" s="2"/>
      <c r="S9" s="4">
        <f>SUM(N8:Q13)</f>
        <v>5</v>
      </c>
    </row>
    <row r="10" spans="1:19" x14ac:dyDescent="0.3">
      <c r="A10" s="1"/>
      <c r="E10">
        <v>4</v>
      </c>
      <c r="M10" s="1" t="s">
        <v>16</v>
      </c>
      <c r="N10" s="2"/>
      <c r="O10" s="2"/>
      <c r="P10" s="2"/>
      <c r="Q10" s="2"/>
    </row>
    <row r="11" spans="1:19" x14ac:dyDescent="0.3">
      <c r="A11" s="1"/>
      <c r="E11">
        <v>4</v>
      </c>
      <c r="M11" s="1" t="s">
        <v>17</v>
      </c>
      <c r="N11" s="2"/>
      <c r="O11" s="2"/>
      <c r="P11" s="2"/>
      <c r="Q11" s="2">
        <v>2</v>
      </c>
    </row>
    <row r="12" spans="1:19" x14ac:dyDescent="0.3">
      <c r="A12" s="1"/>
      <c r="E12">
        <v>4</v>
      </c>
      <c r="M12" s="1" t="s">
        <v>18</v>
      </c>
      <c r="N12" s="2"/>
      <c r="O12" s="2"/>
      <c r="P12" s="2"/>
      <c r="Q12" s="2"/>
    </row>
    <row r="13" spans="1:19" x14ac:dyDescent="0.3">
      <c r="A13" s="1"/>
      <c r="E13">
        <v>3</v>
      </c>
      <c r="M13" s="1" t="s">
        <v>19</v>
      </c>
      <c r="N13" s="2"/>
      <c r="O13" s="2"/>
      <c r="P13" s="2"/>
      <c r="Q13" s="2">
        <v>3</v>
      </c>
    </row>
    <row r="14" spans="1:19" x14ac:dyDescent="0.3">
      <c r="A14" s="1"/>
      <c r="E14">
        <v>3</v>
      </c>
    </row>
    <row r="15" spans="1:19" x14ac:dyDescent="0.3">
      <c r="E15">
        <v>4</v>
      </c>
    </row>
    <row r="16" spans="1:19" x14ac:dyDescent="0.3">
      <c r="E16">
        <v>3</v>
      </c>
    </row>
    <row r="17" spans="2:7" x14ac:dyDescent="0.3">
      <c r="E17">
        <v>4</v>
      </c>
    </row>
    <row r="18" spans="2:7" x14ac:dyDescent="0.3">
      <c r="E18">
        <v>4</v>
      </c>
    </row>
    <row r="20" spans="2:7" x14ac:dyDescent="0.3">
      <c r="B20" s="2"/>
      <c r="C20" s="2"/>
      <c r="D20" s="2"/>
      <c r="E20" s="2"/>
      <c r="G20" t="s">
        <v>20</v>
      </c>
    </row>
    <row r="21" spans="2:7" x14ac:dyDescent="0.3">
      <c r="B21" s="5"/>
      <c r="C21" s="5"/>
      <c r="D21" s="5"/>
      <c r="E21" s="5">
        <f>AVERAGE(E2:E18)</f>
        <v>3.7647058823529411</v>
      </c>
      <c r="G21" s="6">
        <f>AVERAGE(B21:E21)</f>
        <v>3.7647058823529411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563CB-177F-463D-93A1-235E52A8F533}">
  <dimension ref="A1:S14"/>
  <sheetViews>
    <sheetView zoomScale="67" workbookViewId="0">
      <selection activeCell="S10" sqref="S10"/>
    </sheetView>
  </sheetViews>
  <sheetFormatPr defaultRowHeight="14.4" x14ac:dyDescent="0.3"/>
  <sheetData>
    <row r="1" spans="1:19" x14ac:dyDescent="0.3">
      <c r="A1" s="1"/>
      <c r="B1" s="2" t="s">
        <v>0</v>
      </c>
      <c r="C1" s="2" t="s">
        <v>1</v>
      </c>
      <c r="D1" s="2" t="s">
        <v>2</v>
      </c>
      <c r="E1" s="3" t="s">
        <v>3</v>
      </c>
      <c r="M1" s="1" t="s">
        <v>4</v>
      </c>
      <c r="N1" s="2"/>
      <c r="O1" s="2"/>
      <c r="P1" s="2"/>
      <c r="Q1" s="2"/>
      <c r="S1" t="s">
        <v>5</v>
      </c>
    </row>
    <row r="2" spans="1:19" x14ac:dyDescent="0.3">
      <c r="A2" s="1" t="s">
        <v>6</v>
      </c>
      <c r="B2">
        <v>4</v>
      </c>
      <c r="C2">
        <v>2</v>
      </c>
      <c r="M2" s="1" t="s">
        <v>7</v>
      </c>
      <c r="N2" s="2"/>
      <c r="O2" s="2">
        <v>1</v>
      </c>
      <c r="P2" s="2"/>
      <c r="Q2" s="2"/>
      <c r="S2" s="4">
        <f>SUM(N1:Q6)</f>
        <v>1</v>
      </c>
    </row>
    <row r="3" spans="1:19" x14ac:dyDescent="0.3">
      <c r="A3" s="1" t="s">
        <v>8</v>
      </c>
      <c r="B3">
        <v>5</v>
      </c>
      <c r="C3">
        <v>4</v>
      </c>
      <c r="M3" s="1" t="s">
        <v>9</v>
      </c>
      <c r="N3" s="2"/>
      <c r="O3" s="2"/>
      <c r="P3" s="2"/>
      <c r="Q3" s="2"/>
    </row>
    <row r="4" spans="1:19" x14ac:dyDescent="0.3">
      <c r="A4" s="1"/>
      <c r="M4" s="1" t="s">
        <v>10</v>
      </c>
      <c r="N4" s="2"/>
      <c r="O4" s="2"/>
      <c r="P4" s="2"/>
      <c r="Q4" s="2"/>
    </row>
    <row r="5" spans="1:19" x14ac:dyDescent="0.3">
      <c r="A5" s="1"/>
      <c r="M5" s="1" t="s">
        <v>11</v>
      </c>
      <c r="N5" s="2"/>
      <c r="O5" s="2"/>
      <c r="P5" s="2"/>
      <c r="Q5" s="2"/>
    </row>
    <row r="6" spans="1:19" x14ac:dyDescent="0.3">
      <c r="A6" s="1"/>
      <c r="M6" s="1" t="s">
        <v>12</v>
      </c>
      <c r="N6" s="2"/>
      <c r="O6" s="2"/>
      <c r="P6" s="2"/>
      <c r="Q6" s="2"/>
    </row>
    <row r="7" spans="1:19" x14ac:dyDescent="0.3">
      <c r="A7" s="1"/>
    </row>
    <row r="8" spans="1:19" x14ac:dyDescent="0.3">
      <c r="A8" s="1"/>
      <c r="B8" s="2"/>
      <c r="C8" s="2"/>
      <c r="D8" s="2"/>
      <c r="E8" s="2"/>
      <c r="G8" t="s">
        <v>20</v>
      </c>
      <c r="M8" s="1" t="s">
        <v>13</v>
      </c>
      <c r="N8" s="2"/>
      <c r="O8" s="2"/>
      <c r="P8" s="2"/>
      <c r="Q8" s="2"/>
      <c r="S8" t="s">
        <v>14</v>
      </c>
    </row>
    <row r="9" spans="1:19" x14ac:dyDescent="0.3">
      <c r="A9" s="1"/>
      <c r="B9" s="5">
        <f>AVERAGE(B2:B3)</f>
        <v>4.5</v>
      </c>
      <c r="C9" s="5">
        <f>AVERAGE(C2:C3)</f>
        <v>3</v>
      </c>
      <c r="D9" s="5"/>
      <c r="E9" s="5"/>
      <c r="G9" s="6">
        <f>AVERAGE(B9:E9)</f>
        <v>3.75</v>
      </c>
      <c r="M9" s="1" t="s">
        <v>15</v>
      </c>
      <c r="N9" s="2"/>
      <c r="O9" s="2"/>
      <c r="P9" s="2"/>
      <c r="Q9" s="2"/>
      <c r="S9" s="4">
        <f>SUM(N8:Q13)</f>
        <v>19</v>
      </c>
    </row>
    <row r="10" spans="1:19" x14ac:dyDescent="0.3">
      <c r="A10" s="1"/>
      <c r="M10" s="1" t="s">
        <v>16</v>
      </c>
      <c r="N10" s="2"/>
      <c r="O10" s="2"/>
      <c r="P10" s="2"/>
      <c r="Q10" s="2"/>
    </row>
    <row r="11" spans="1:19" x14ac:dyDescent="0.3">
      <c r="A11" s="1"/>
      <c r="M11" s="1" t="s">
        <v>17</v>
      </c>
      <c r="N11" s="2">
        <v>3</v>
      </c>
      <c r="O11" s="2">
        <v>1</v>
      </c>
      <c r="P11" s="2"/>
      <c r="Q11" s="2"/>
    </row>
    <row r="12" spans="1:19" x14ac:dyDescent="0.3">
      <c r="A12" s="1"/>
      <c r="M12" s="1" t="s">
        <v>18</v>
      </c>
      <c r="N12" s="2">
        <v>1</v>
      </c>
      <c r="O12" s="2"/>
      <c r="P12" s="2"/>
      <c r="Q12" s="2"/>
    </row>
    <row r="13" spans="1:19" x14ac:dyDescent="0.3">
      <c r="A13" s="1"/>
      <c r="M13" s="1" t="s">
        <v>19</v>
      </c>
      <c r="N13" s="2">
        <v>6</v>
      </c>
      <c r="O13" s="2">
        <v>8</v>
      </c>
      <c r="P13" s="2"/>
      <c r="Q13" s="2"/>
    </row>
    <row r="14" spans="1:19" x14ac:dyDescent="0.3">
      <c r="A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EREDMÉNYEK</vt:lpstr>
      <vt:lpstr>1952</vt:lpstr>
      <vt:lpstr>1953</vt:lpstr>
      <vt:lpstr>1954</vt:lpstr>
      <vt:lpstr>1955</vt:lpstr>
      <vt:lpstr>1956</vt:lpstr>
      <vt:lpstr>1957</vt:lpstr>
      <vt:lpstr>1958</vt:lpstr>
      <vt:lpstr>1959</vt:lpstr>
      <vt:lpstr>1960</vt:lpstr>
      <vt:lpstr>1961</vt:lpstr>
      <vt:lpstr>1962</vt:lpstr>
      <vt:lpstr>1963</vt:lpstr>
      <vt:lpstr>1964</vt:lpstr>
      <vt:lpstr>1965</vt:lpstr>
      <vt:lpstr>1966</vt:lpstr>
      <vt:lpstr>1967</vt:lpstr>
      <vt:lpstr>1968</vt:lpstr>
      <vt:lpstr>1969</vt:lpstr>
      <vt:lpstr>1970</vt:lpstr>
      <vt:lpstr>1971</vt:lpstr>
      <vt:lpstr>1972</vt:lpstr>
      <vt:lpstr>1973</vt:lpstr>
      <vt:lpstr>1974</vt:lpstr>
      <vt:lpstr>1975</vt:lpstr>
      <vt:lpstr>1976</vt:lpstr>
      <vt:lpstr>1977</vt:lpstr>
      <vt:lpstr>1978</vt:lpstr>
      <vt:lpstr>1979</vt:lpstr>
      <vt:lpstr>1980</vt:lpstr>
      <vt:lpstr>1981</vt:lpstr>
      <vt:lpstr>1982</vt:lpstr>
      <vt:lpstr>1983</vt:lpstr>
      <vt:lpstr>1984</vt:lpstr>
      <vt:lpstr>1985</vt:lpstr>
      <vt:lpstr>1986</vt:lpstr>
      <vt:lpstr>1987</vt:lpstr>
      <vt:lpstr>1988</vt:lpstr>
      <vt:lpstr>1989</vt:lpstr>
      <vt:lpstr>1990</vt:lpstr>
      <vt:lpstr>1991</vt:lpstr>
      <vt:lpstr>1992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Eszter Kiss</dc:creator>
  <cp:lastModifiedBy>Eszter Kiss</cp:lastModifiedBy>
  <dcterms:created xsi:type="dcterms:W3CDTF">2015-06-05T18:17:20Z</dcterms:created>
  <dcterms:modified xsi:type="dcterms:W3CDTF">2026-04-13T08:28:52Z</dcterms:modified>
</cp:coreProperties>
</file>